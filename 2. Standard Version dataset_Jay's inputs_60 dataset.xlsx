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rsonal Stuff\1. Projects\101. Jay_Tapway Global_Valuation calculation AI (Hammad)\Valuation Training Dataset\"/>
    </mc:Choice>
  </mc:AlternateContent>
  <bookViews>
    <workbookView xWindow="-120" yWindow="-120" windowWidth="23280" windowHeight="14880"/>
  </bookViews>
  <sheets>
    <sheet name="STANDARD (Investor Grade)" sheetId="2" r:id="rId1"/>
    <sheet name="Reference Data sheet" sheetId="4" r:id="rId2"/>
  </sheets>
  <definedNames>
    <definedName name="_xlnm._FilterDatabase" localSheetId="1" hidden="1">'Reference Data sheet'!$B$3:$M$176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1" i="2" l="1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50" i="2"/>
  <c r="B58" i="2" s="1"/>
  <c r="B49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I53" i="2"/>
  <c r="B53" i="2"/>
  <c r="B41" i="2"/>
  <c r="B43" i="2" s="1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I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G55" i="2"/>
  <c r="BH55" i="2"/>
  <c r="BI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I56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G58" i="2"/>
  <c r="BH58" i="2"/>
  <c r="BI58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47" i="2"/>
  <c r="B46" i="2"/>
  <c r="B45" i="2"/>
  <c r="B44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42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40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39" i="2"/>
  <c r="N33" i="2"/>
  <c r="O33" i="2"/>
  <c r="V33" i="2"/>
  <c r="W33" i="2"/>
  <c r="AD33" i="2"/>
  <c r="AE33" i="2"/>
  <c r="AT33" i="2"/>
  <c r="AU33" i="2"/>
  <c r="BB33" i="2"/>
  <c r="BC33" i="2"/>
  <c r="M34" i="2"/>
  <c r="N34" i="2"/>
  <c r="O34" i="2"/>
  <c r="AC34" i="2"/>
  <c r="AD34" i="2"/>
  <c r="AE34" i="2"/>
  <c r="AS34" i="2"/>
  <c r="AT34" i="2"/>
  <c r="AU34" i="2"/>
  <c r="BI34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C32" i="2"/>
  <c r="C33" i="2" s="1"/>
  <c r="D32" i="2"/>
  <c r="D33" i="2" s="1"/>
  <c r="E32" i="2"/>
  <c r="E33" i="2" s="1"/>
  <c r="F32" i="2"/>
  <c r="F33" i="2" s="1"/>
  <c r="G32" i="2"/>
  <c r="G33" i="2" s="1"/>
  <c r="H32" i="2"/>
  <c r="H33" i="2" s="1"/>
  <c r="I32" i="2"/>
  <c r="I33" i="2" s="1"/>
  <c r="J32" i="2"/>
  <c r="J33" i="2" s="1"/>
  <c r="K32" i="2"/>
  <c r="K33" i="2" s="1"/>
  <c r="L32" i="2"/>
  <c r="L33" i="2" s="1"/>
  <c r="M32" i="2"/>
  <c r="M33" i="2" s="1"/>
  <c r="N32" i="2"/>
  <c r="O32" i="2"/>
  <c r="P32" i="2"/>
  <c r="P33" i="2" s="1"/>
  <c r="Q32" i="2"/>
  <c r="Q33" i="2" s="1"/>
  <c r="R32" i="2"/>
  <c r="R33" i="2" s="1"/>
  <c r="S32" i="2"/>
  <c r="S33" i="2" s="1"/>
  <c r="T32" i="2"/>
  <c r="T33" i="2" s="1"/>
  <c r="U32" i="2"/>
  <c r="U33" i="2" s="1"/>
  <c r="V32" i="2"/>
  <c r="V34" i="2" s="1"/>
  <c r="V35" i="2" s="1"/>
  <c r="W32" i="2"/>
  <c r="W34" i="2" s="1"/>
  <c r="X32" i="2"/>
  <c r="X33" i="2" s="1"/>
  <c r="Y32" i="2"/>
  <c r="Y33" i="2" s="1"/>
  <c r="Z32" i="2"/>
  <c r="Z33" i="2" s="1"/>
  <c r="AA32" i="2"/>
  <c r="AA33" i="2" s="1"/>
  <c r="AB32" i="2"/>
  <c r="AB33" i="2" s="1"/>
  <c r="AC32" i="2"/>
  <c r="AC33" i="2" s="1"/>
  <c r="AD32" i="2"/>
  <c r="AE32" i="2"/>
  <c r="AF32" i="2"/>
  <c r="AF33" i="2" s="1"/>
  <c r="AG32" i="2"/>
  <c r="AG33" i="2" s="1"/>
  <c r="AH32" i="2"/>
  <c r="AH33" i="2" s="1"/>
  <c r="AI32" i="2"/>
  <c r="AI34" i="2" s="1"/>
  <c r="AJ32" i="2"/>
  <c r="AJ33" i="2" s="1"/>
  <c r="AK32" i="2"/>
  <c r="AK33" i="2" s="1"/>
  <c r="AL32" i="2"/>
  <c r="AL33" i="2" s="1"/>
  <c r="AM32" i="2"/>
  <c r="AM33" i="2" s="1"/>
  <c r="AN32" i="2"/>
  <c r="AN33" i="2" s="1"/>
  <c r="AO32" i="2"/>
  <c r="AO33" i="2" s="1"/>
  <c r="AP32" i="2"/>
  <c r="AP33" i="2" s="1"/>
  <c r="AQ32" i="2"/>
  <c r="AQ33" i="2" s="1"/>
  <c r="AR32" i="2"/>
  <c r="AR33" i="2" s="1"/>
  <c r="AS32" i="2"/>
  <c r="AS33" i="2" s="1"/>
  <c r="AT32" i="2"/>
  <c r="AU32" i="2"/>
  <c r="AV32" i="2"/>
  <c r="AV33" i="2" s="1"/>
  <c r="AW32" i="2"/>
  <c r="AW33" i="2" s="1"/>
  <c r="AX32" i="2"/>
  <c r="AX33" i="2" s="1"/>
  <c r="AY32" i="2"/>
  <c r="AY33" i="2" s="1"/>
  <c r="AZ32" i="2"/>
  <c r="AZ33" i="2" s="1"/>
  <c r="BA32" i="2"/>
  <c r="BA33" i="2" s="1"/>
  <c r="BB32" i="2"/>
  <c r="BB34" i="2" s="1"/>
  <c r="BB35" i="2" s="1"/>
  <c r="BC32" i="2"/>
  <c r="BC34" i="2" s="1"/>
  <c r="BD32" i="2"/>
  <c r="BD33" i="2" s="1"/>
  <c r="BE32" i="2"/>
  <c r="BE33" i="2" s="1"/>
  <c r="BF32" i="2"/>
  <c r="BF33" i="2" s="1"/>
  <c r="BG32" i="2"/>
  <c r="BG34" i="2" s="1"/>
  <c r="BH32" i="2"/>
  <c r="BH33" i="2" s="1"/>
  <c r="BI32" i="2"/>
  <c r="BI33" i="2" s="1"/>
  <c r="B32" i="2"/>
  <c r="C238" i="4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B52" i="2" l="1"/>
  <c r="B59" i="2" s="1"/>
  <c r="X57" i="2"/>
  <c r="AM52" i="2"/>
  <c r="BC57" i="2"/>
  <c r="AU57" i="2"/>
  <c r="AM57" i="2"/>
  <c r="AE57" i="2"/>
  <c r="W57" i="2"/>
  <c r="O57" i="2"/>
  <c r="G57" i="2"/>
  <c r="BB52" i="2"/>
  <c r="AT52" i="2"/>
  <c r="AL52" i="2"/>
  <c r="AD52" i="2"/>
  <c r="V52" i="2"/>
  <c r="N52" i="2"/>
  <c r="F52" i="2"/>
  <c r="AN57" i="2"/>
  <c r="H57" i="2"/>
  <c r="W52" i="2"/>
  <c r="BB57" i="2"/>
  <c r="AT57" i="2"/>
  <c r="AL57" i="2"/>
  <c r="AD57" i="2"/>
  <c r="V57" i="2"/>
  <c r="N57" i="2"/>
  <c r="F57" i="2"/>
  <c r="BI52" i="2"/>
  <c r="BA52" i="2"/>
  <c r="AS52" i="2"/>
  <c r="AK52" i="2"/>
  <c r="AC52" i="2"/>
  <c r="U52" i="2"/>
  <c r="M52" i="2"/>
  <c r="E52" i="2"/>
  <c r="AV57" i="2"/>
  <c r="BC52" i="2"/>
  <c r="O52" i="2"/>
  <c r="BI57" i="2"/>
  <c r="BA57" i="2"/>
  <c r="AS57" i="2"/>
  <c r="AK57" i="2"/>
  <c r="AC57" i="2"/>
  <c r="U57" i="2"/>
  <c r="M57" i="2"/>
  <c r="E57" i="2"/>
  <c r="BH52" i="2"/>
  <c r="AZ52" i="2"/>
  <c r="AR52" i="2"/>
  <c r="AJ52" i="2"/>
  <c r="AB52" i="2"/>
  <c r="T52" i="2"/>
  <c r="L52" i="2"/>
  <c r="D52" i="2"/>
  <c r="BD57" i="2"/>
  <c r="AE52" i="2"/>
  <c r="BH57" i="2"/>
  <c r="AZ57" i="2"/>
  <c r="AR57" i="2"/>
  <c r="AJ57" i="2"/>
  <c r="AB57" i="2"/>
  <c r="T57" i="2"/>
  <c r="L57" i="2"/>
  <c r="D57" i="2"/>
  <c r="BG52" i="2"/>
  <c r="AY52" i="2"/>
  <c r="AQ52" i="2"/>
  <c r="AI52" i="2"/>
  <c r="AA52" i="2"/>
  <c r="S52" i="2"/>
  <c r="K52" i="2"/>
  <c r="C52" i="2"/>
  <c r="AF57" i="2"/>
  <c r="AU52" i="2"/>
  <c r="BG57" i="2"/>
  <c r="AY57" i="2"/>
  <c r="AQ57" i="2"/>
  <c r="AI57" i="2"/>
  <c r="AA57" i="2"/>
  <c r="S57" i="2"/>
  <c r="K57" i="2"/>
  <c r="C57" i="2"/>
  <c r="P57" i="2"/>
  <c r="G52" i="2"/>
  <c r="BF57" i="2"/>
  <c r="AX57" i="2"/>
  <c r="AP57" i="2"/>
  <c r="AH57" i="2"/>
  <c r="Z57" i="2"/>
  <c r="R57" i="2"/>
  <c r="J57" i="2"/>
  <c r="BE52" i="2"/>
  <c r="AW52" i="2"/>
  <c r="AO52" i="2"/>
  <c r="AO59" i="2" s="1"/>
  <c r="AG52" i="2"/>
  <c r="Y52" i="2"/>
  <c r="Q52" i="2"/>
  <c r="I52" i="2"/>
  <c r="BE57" i="2"/>
  <c r="AW57" i="2"/>
  <c r="AO57" i="2"/>
  <c r="AG57" i="2"/>
  <c r="Y57" i="2"/>
  <c r="Q57" i="2"/>
  <c r="I57" i="2"/>
  <c r="BD52" i="2"/>
  <c r="AV52" i="2"/>
  <c r="AN52" i="2"/>
  <c r="AF52" i="2"/>
  <c r="X52" i="2"/>
  <c r="P52" i="2"/>
  <c r="H52" i="2"/>
  <c r="AP52" i="2"/>
  <c r="J52" i="2"/>
  <c r="AH52" i="2"/>
  <c r="BF52" i="2"/>
  <c r="Z52" i="2"/>
  <c r="R52" i="2"/>
  <c r="AX52" i="2"/>
  <c r="AR34" i="2"/>
  <c r="AR35" i="2" s="1"/>
  <c r="L34" i="2"/>
  <c r="L35" i="2" s="1"/>
  <c r="AM34" i="2"/>
  <c r="G34" i="2"/>
  <c r="BH34" i="2"/>
  <c r="AB34" i="2"/>
  <c r="AB35" i="2" s="1"/>
  <c r="AL34" i="2"/>
  <c r="AL35" i="2" s="1"/>
  <c r="F34" i="2"/>
  <c r="F35" i="2" s="1"/>
  <c r="BH35" i="2"/>
  <c r="BA34" i="2"/>
  <c r="BA35" i="2" s="1"/>
  <c r="AK34" i="2"/>
  <c r="U34" i="2"/>
  <c r="E34" i="2"/>
  <c r="E35" i="2" s="1"/>
  <c r="AZ34" i="2"/>
  <c r="AZ35" i="2" s="1"/>
  <c r="AJ34" i="2"/>
  <c r="AJ35" i="2" s="1"/>
  <c r="D34" i="2"/>
  <c r="T34" i="2"/>
  <c r="T35" i="2" s="1"/>
  <c r="AT35" i="2"/>
  <c r="AD35" i="2"/>
  <c r="N35" i="2"/>
  <c r="D35" i="2"/>
  <c r="BG35" i="2"/>
  <c r="AI35" i="2"/>
  <c r="AH35" i="2"/>
  <c r="Z35" i="2"/>
  <c r="R35" i="2"/>
  <c r="BF34" i="2"/>
  <c r="BF35" i="2" s="1"/>
  <c r="AX34" i="2"/>
  <c r="AX35" i="2" s="1"/>
  <c r="AP34" i="2"/>
  <c r="AP35" i="2" s="1"/>
  <c r="AH34" i="2"/>
  <c r="Z34" i="2"/>
  <c r="R34" i="2"/>
  <c r="J34" i="2"/>
  <c r="J35" i="2" s="1"/>
  <c r="BE34" i="2"/>
  <c r="BE35" i="2" s="1"/>
  <c r="AW34" i="2"/>
  <c r="AW35" i="2" s="1"/>
  <c r="AO34" i="2"/>
  <c r="AO35" i="2" s="1"/>
  <c r="AG34" i="2"/>
  <c r="AG35" i="2" s="1"/>
  <c r="Y34" i="2"/>
  <c r="Y35" i="2" s="1"/>
  <c r="Q34" i="2"/>
  <c r="Q35" i="2" s="1"/>
  <c r="I34" i="2"/>
  <c r="I35" i="2" s="1"/>
  <c r="AY34" i="2"/>
  <c r="AY35" i="2" s="1"/>
  <c r="AQ34" i="2"/>
  <c r="AQ35" i="2" s="1"/>
  <c r="AA34" i="2"/>
  <c r="AA35" i="2" s="1"/>
  <c r="S34" i="2"/>
  <c r="S35" i="2" s="1"/>
  <c r="K34" i="2"/>
  <c r="K35" i="2" s="1"/>
  <c r="C34" i="2"/>
  <c r="C35" i="2" s="1"/>
  <c r="BD34" i="2"/>
  <c r="BD35" i="2" s="1"/>
  <c r="AV34" i="2"/>
  <c r="AV35" i="2" s="1"/>
  <c r="AN34" i="2"/>
  <c r="AN35" i="2" s="1"/>
  <c r="AF34" i="2"/>
  <c r="AF35" i="2" s="1"/>
  <c r="X34" i="2"/>
  <c r="X35" i="2" s="1"/>
  <c r="P34" i="2"/>
  <c r="P35" i="2" s="1"/>
  <c r="H34" i="2"/>
  <c r="H35" i="2" s="1"/>
  <c r="BG33" i="2"/>
  <c r="AI33" i="2"/>
  <c r="BC35" i="2"/>
  <c r="AU35" i="2"/>
  <c r="AM35" i="2"/>
  <c r="AE35" i="2"/>
  <c r="W35" i="2"/>
  <c r="O35" i="2"/>
  <c r="G35" i="2"/>
  <c r="BI35" i="2"/>
  <c r="AS35" i="2"/>
  <c r="AK35" i="2"/>
  <c r="AC35" i="2"/>
  <c r="U35" i="2"/>
  <c r="M35" i="2"/>
  <c r="B55" i="2"/>
  <c r="B38" i="2"/>
  <c r="B37" i="2"/>
  <c r="B34" i="2"/>
  <c r="AX59" i="2" l="1"/>
  <c r="AG59" i="2"/>
  <c r="BE59" i="2"/>
  <c r="C59" i="2"/>
  <c r="AZ59" i="2"/>
  <c r="N59" i="2"/>
  <c r="R59" i="2"/>
  <c r="G59" i="2"/>
  <c r="AK59" i="2"/>
  <c r="X59" i="2"/>
  <c r="AN59" i="2"/>
  <c r="AP59" i="2"/>
  <c r="Q59" i="2"/>
  <c r="Y59" i="2"/>
  <c r="AE59" i="2"/>
  <c r="BF59" i="2"/>
  <c r="AI59" i="2"/>
  <c r="T59" i="2"/>
  <c r="BI59" i="2"/>
  <c r="W59" i="2"/>
  <c r="AT59" i="2"/>
  <c r="AH59" i="2"/>
  <c r="AQ59" i="2"/>
  <c r="AB59" i="2"/>
  <c r="E59" i="2"/>
  <c r="BB59" i="2"/>
  <c r="AM59" i="2"/>
  <c r="BD59" i="2"/>
  <c r="AU59" i="2"/>
  <c r="M59" i="2"/>
  <c r="BG59" i="2"/>
  <c r="H59" i="2"/>
  <c r="AC59" i="2"/>
  <c r="U59" i="2"/>
  <c r="K59" i="2"/>
  <c r="BH59" i="2"/>
  <c r="V59" i="2"/>
  <c r="AV59" i="2"/>
  <c r="S59" i="2"/>
  <c r="D59" i="2"/>
  <c r="O59" i="2"/>
  <c r="AS59" i="2"/>
  <c r="AD59" i="2"/>
  <c r="AR59" i="2"/>
  <c r="F59" i="2"/>
  <c r="P59" i="2"/>
  <c r="Z59" i="2"/>
  <c r="AF59" i="2"/>
  <c r="AW59" i="2"/>
  <c r="AA59" i="2"/>
  <c r="L59" i="2"/>
  <c r="BC59" i="2"/>
  <c r="BA59" i="2"/>
  <c r="AL59" i="2"/>
  <c r="J59" i="2"/>
  <c r="I59" i="2"/>
  <c r="AY59" i="2"/>
  <c r="AJ59" i="2"/>
  <c r="B56" i="2"/>
  <c r="B54" i="2"/>
  <c r="B36" i="2"/>
  <c r="B33" i="2" l="1"/>
  <c r="B35" i="2" s="1"/>
  <c r="B57" i="2" l="1"/>
</calcChain>
</file>

<file path=xl/sharedStrings.xml><?xml version="1.0" encoding="utf-8"?>
<sst xmlns="http://schemas.openxmlformats.org/spreadsheetml/2006/main" count="1898" uniqueCount="777">
  <si>
    <t>Sector</t>
  </si>
  <si>
    <t>Country</t>
  </si>
  <si>
    <t>Currency</t>
  </si>
  <si>
    <t>DE</t>
  </si>
  <si>
    <t>EUR</t>
  </si>
  <si>
    <t>USD</t>
  </si>
  <si>
    <t>UK</t>
  </si>
  <si>
    <t>GBP</t>
  </si>
  <si>
    <t>FR</t>
  </si>
  <si>
    <t>CHF</t>
  </si>
  <si>
    <t>NL</t>
  </si>
  <si>
    <t>Metric</t>
  </si>
  <si>
    <t>Employees</t>
  </si>
  <si>
    <t>Revenue Y1</t>
  </si>
  <si>
    <t>Revenue Y2</t>
  </si>
  <si>
    <t>Revenue Y3</t>
  </si>
  <si>
    <t>EBIT Y1</t>
  </si>
  <si>
    <t>EBIT Y2</t>
  </si>
  <si>
    <t>EBIT Y3</t>
  </si>
  <si>
    <t>Revenue F1</t>
  </si>
  <si>
    <t>Revenue F2</t>
  </si>
  <si>
    <t>Revenue F3</t>
  </si>
  <si>
    <t>EBIT F1</t>
  </si>
  <si>
    <t>EBIT F2</t>
  </si>
  <si>
    <t>EBIT F3</t>
  </si>
  <si>
    <t>Top-3 %</t>
  </si>
  <si>
    <t>No</t>
  </si>
  <si>
    <t>Yes</t>
  </si>
  <si>
    <t>Full</t>
  </si>
  <si>
    <t>FX rate</t>
  </si>
  <si>
    <t>Rev AVG EUR</t>
  </si>
  <si>
    <t>EBIT AVG EUR</t>
  </si>
  <si>
    <t>EBIT Margin</t>
  </si>
  <si>
    <t>EBIT CAGR</t>
  </si>
  <si>
    <t>Volatility</t>
  </si>
  <si>
    <t>Rev CAGR</t>
  </si>
  <si>
    <t>Adj Multiple</t>
  </si>
  <si>
    <t>Financial Quality</t>
  </si>
  <si>
    <t>Growth Score</t>
  </si>
  <si>
    <t>Sector Context</t>
  </si>
  <si>
    <t>Risk Flags</t>
  </si>
  <si>
    <t>TAPWAY SCORE</t>
  </si>
  <si>
    <t>Tapway Global - Valuation Training Dataset</t>
  </si>
  <si>
    <t>User Inputs</t>
  </si>
  <si>
    <t>Blue Cells</t>
  </si>
  <si>
    <t>API-Fetched Data</t>
  </si>
  <si>
    <t>Yellow Cells</t>
  </si>
  <si>
    <t>Calculated Fields</t>
  </si>
  <si>
    <t>Green Cells</t>
  </si>
  <si>
    <t>FREE VERSION - QUICK VALUATION (3-MINUTE ANALYSIS)</t>
  </si>
  <si>
    <t>USER INPUTS</t>
  </si>
  <si>
    <t>Standard Version (Investor-Grade Analysis)</t>
  </si>
  <si>
    <t>CountryCode</t>
  </si>
  <si>
    <t>DeltaMultiple</t>
  </si>
  <si>
    <t>CZ</t>
  </si>
  <si>
    <t>HU</t>
  </si>
  <si>
    <t>RO</t>
  </si>
  <si>
    <t>RevMin_EUR</t>
  </si>
  <si>
    <t>Top3_MinPct</t>
  </si>
  <si>
    <t>Keep Top3_MinPct ascending. Same XLOOKUP(..., 1) trick.</t>
  </si>
  <si>
    <t>RateToEUR</t>
  </si>
  <si>
    <t>…</t>
  </si>
  <si>
    <t>Update rates periodically. (30-day average is fine for Free.)</t>
  </si>
  <si>
    <t>Founder dependency high?</t>
  </si>
  <si>
    <t>Supplier dependency high?</t>
  </si>
  <si>
    <t>Key staff retention plan?</t>
  </si>
  <si>
    <t xml:space="preserve">Documentation readiness </t>
  </si>
  <si>
    <t>Seller flexibility (earn-out/vendor finance)</t>
  </si>
  <si>
    <t xml:space="preserve">Target timeline </t>
  </si>
  <si>
    <t>Data validation list from =Sector_BaseEBITMultiple[Sector]</t>
  </si>
  <si>
    <t>ISO code, list from =Country_DeltaMultiple[CountryCode]</t>
  </si>
  <si>
    <t>List from =FX_To_EUR[Currency]</t>
  </si>
  <si>
    <t>Number &gt; 0</t>
  </si>
  <si>
    <t>Number 0–100.</t>
  </si>
  <si>
    <t>YES/NO</t>
  </si>
  <si>
    <t>None/Partial/Full</t>
  </si>
  <si>
    <t>months, number</t>
  </si>
  <si>
    <t>Lookup from Table 5 - Reference Data Sheet</t>
  </si>
  <si>
    <t>Average historical Revenue x FX rate</t>
  </si>
  <si>
    <t>Average historical EBIT x FX rate</t>
  </si>
  <si>
    <t>Lookup from Table 1 - Reference Data Sheet</t>
  </si>
  <si>
    <t>Lookup from Table 2 - Reference Data Sheet</t>
  </si>
  <si>
    <t>Lookup from Table 3 - Reference Data Sheet</t>
  </si>
  <si>
    <t>Country Risk Factor</t>
  </si>
  <si>
    <t>Size Adjustment Factor</t>
  </si>
  <si>
    <t>Customer Concentration Adjustment</t>
  </si>
  <si>
    <t>Base Multiple Factor</t>
  </si>
  <si>
    <t>Lookup from Table 4 - Reference Data Sheet</t>
  </si>
  <si>
    <t>BandMin</t>
  </si>
  <si>
    <t>Score</t>
  </si>
  <si>
    <t>EV_Min_EUR</t>
  </si>
  <si>
    <t>SizeScore</t>
  </si>
  <si>
    <t>BACKEND HELPERS &amp; LOOKUPS</t>
  </si>
  <si>
    <t>EV mid (EUR)</t>
  </si>
  <si>
    <t>EV low (EUR)</t>
  </si>
  <si>
    <t>EV high (EUR)</t>
  </si>
  <si>
    <t xml:space="preserve">Risk Management </t>
  </si>
  <si>
    <t xml:space="preserve">Data Completeness </t>
  </si>
  <si>
    <t>Investment Attractiveness — aggregation</t>
  </si>
  <si>
    <t>Dealability (Size) subscore</t>
  </si>
  <si>
    <t>Dealability (Documentation) subscore</t>
  </si>
  <si>
    <t>Dealability (Flexibility) subscore</t>
  </si>
  <si>
    <t>Dealability (Timeline) subscore</t>
  </si>
  <si>
    <t>Dealability Score (0–100)</t>
  </si>
  <si>
    <t>Conditional formatting - 0–49 red, 50–69 amber, 70–84 green, 85–100 dark green</t>
  </si>
  <si>
    <t>format as thousands (or use helper: =ROUND(B44/1000,0)&amp;"k EUR" in the UI layer)</t>
  </si>
  <si>
    <t>Apple</t>
  </si>
  <si>
    <t>Microsoft</t>
  </si>
  <si>
    <t>Amazon</t>
  </si>
  <si>
    <t>Alphabet</t>
  </si>
  <si>
    <t>Meta</t>
  </si>
  <si>
    <t>Tesla</t>
  </si>
  <si>
    <t>NVIDIA</t>
  </si>
  <si>
    <t>Intel</t>
  </si>
  <si>
    <t>PepsiCo</t>
  </si>
  <si>
    <t>Nike</t>
  </si>
  <si>
    <t>Starbucks</t>
  </si>
  <si>
    <t>Costco</t>
  </si>
  <si>
    <t>IBM</t>
  </si>
  <si>
    <t>Oracle</t>
  </si>
  <si>
    <t>Qualcomm</t>
  </si>
  <si>
    <t>AMD</t>
  </si>
  <si>
    <t>ServiceNow</t>
  </si>
  <si>
    <t>PayPal</t>
  </si>
  <si>
    <t>Booking</t>
  </si>
  <si>
    <t>GM</t>
  </si>
  <si>
    <t>Target</t>
  </si>
  <si>
    <t>Lowe’s</t>
  </si>
  <si>
    <t>Unilever</t>
  </si>
  <si>
    <t>BP</t>
  </si>
  <si>
    <t>Shell</t>
  </si>
  <si>
    <t>Diageo</t>
  </si>
  <si>
    <t>HSBC</t>
  </si>
  <si>
    <t>RELX</t>
  </si>
  <si>
    <t>Ocado</t>
  </si>
  <si>
    <t>AstraZeneca</t>
  </si>
  <si>
    <t>Siemens</t>
  </si>
  <si>
    <t>SAP</t>
  </si>
  <si>
    <t>ASML</t>
  </si>
  <si>
    <t>LVMH</t>
  </si>
  <si>
    <t>TotalEnergies</t>
  </si>
  <si>
    <t>Schneider Electric</t>
  </si>
  <si>
    <t>AXA</t>
  </si>
  <si>
    <t>Sanofi</t>
  </si>
  <si>
    <t>Allianz</t>
  </si>
  <si>
    <t>BASF</t>
  </si>
  <si>
    <t>BMW</t>
  </si>
  <si>
    <t>Volkswagen</t>
  </si>
  <si>
    <t>Adidas</t>
  </si>
  <si>
    <t>Infineon</t>
  </si>
  <si>
    <t>Nokia</t>
  </si>
  <si>
    <t>Barclays</t>
  </si>
  <si>
    <t>Lloyds Banking Group</t>
  </si>
  <si>
    <t>Standard Chartered</t>
  </si>
  <si>
    <t>Vodafone</t>
  </si>
  <si>
    <t>BT Group</t>
  </si>
  <si>
    <t>Experian</t>
  </si>
  <si>
    <t>Smith &amp; Nephew</t>
  </si>
  <si>
    <t>Danone</t>
  </si>
  <si>
    <t>Heineken</t>
  </si>
  <si>
    <t>Rolls-Royce</t>
  </si>
  <si>
    <t>Airbus</t>
  </si>
  <si>
    <t>RELX Group</t>
  </si>
  <si>
    <t>Siemens Energy</t>
  </si>
  <si>
    <t>Nestlé</t>
  </si>
  <si>
    <t>sector_id</t>
  </si>
  <si>
    <t>sector_en</t>
  </si>
  <si>
    <t>sector_de</t>
  </si>
  <si>
    <t>subsector_id</t>
  </si>
  <si>
    <t>subsector_en</t>
  </si>
  <si>
    <t>subsector_de</t>
  </si>
  <si>
    <t>Subsector_Name (Updated)</t>
  </si>
  <si>
    <t>Base_EBIT_Multiple</t>
  </si>
  <si>
    <t>Target_EBIT_Margin_%</t>
  </si>
  <si>
    <t>Target_CAGR_%</t>
  </si>
  <si>
    <t>TECH</t>
  </si>
  <si>
    <t>Technology</t>
  </si>
  <si>
    <t>Technologie</t>
  </si>
  <si>
    <t>TECH:SaaS_B2B</t>
  </si>
  <si>
    <t>B2B SaaS</t>
  </si>
  <si>
    <t>B2Bâ€‘SaaS</t>
  </si>
  <si>
    <t>TECH:SaaS_Vert</t>
  </si>
  <si>
    <t>Vertical SaaS</t>
  </si>
  <si>
    <t>Vertikales SaaS</t>
  </si>
  <si>
    <t>TECH:IT_MSP</t>
  </si>
  <si>
    <t>IT Services &amp; Managed Services (MSP)</t>
  </si>
  <si>
    <t>ITâ€‘Dienstleistungen &amp; Managed Services (MSP)</t>
  </si>
  <si>
    <t>IT Services &amp; MSP</t>
  </si>
  <si>
    <t>TECH:Cyber</t>
  </si>
  <si>
    <t>Cybersecurity</t>
  </si>
  <si>
    <t>TECH:Cloud_Host</t>
  </si>
  <si>
    <t>Cloud &amp; Hosting</t>
  </si>
  <si>
    <t>TECH:SysInt</t>
  </si>
  <si>
    <t>Systems Integration</t>
  </si>
  <si>
    <t>Systemintegration</t>
  </si>
  <si>
    <t>TECH:Ind_SW</t>
  </si>
  <si>
    <t>Industrial Software (CAD/CAM/PLM)</t>
  </si>
  <si>
    <t>Industrielle Software (CAD/CAM/PLM)</t>
  </si>
  <si>
    <t>TECH:IoT_I40</t>
  </si>
  <si>
    <t>IoT &amp; Industry 4.0 Platforms</t>
  </si>
  <si>
    <t>IoT &amp; Industrieâ€‘4.0â€‘Plattformen</t>
  </si>
  <si>
    <t>TECH:Emb_SW</t>
  </si>
  <si>
    <t>Embedded Software</t>
  </si>
  <si>
    <t>Embeddedâ€‘Software</t>
  </si>
  <si>
    <t>TECH:Data_AI</t>
  </si>
  <si>
    <t>Data Platforms &amp; AI Tooling</t>
  </si>
  <si>
    <t>Datenplattformen &amp; KIâ€‘Tools</t>
  </si>
  <si>
    <t>TECH:EC_SW</t>
  </si>
  <si>
    <t>Eâ€‘Commerce Enablement Software</t>
  </si>
  <si>
    <t>Eâ€‘Commerceâ€‘Enablementâ€‘Software</t>
  </si>
  <si>
    <t>E-Commerce Enablement Software</t>
  </si>
  <si>
    <t>TECH:DevOps</t>
  </si>
  <si>
    <t>DevOps &amp; Developer Tools</t>
  </si>
  <si>
    <t>DevOps &amp; Entwicklerâ€‘Tools</t>
  </si>
  <si>
    <t>INDMFG</t>
  </si>
  <si>
    <t>Industrials &amp; Manufacturing</t>
  </si>
  <si>
    <t>Industrie &amp; Produktion</t>
  </si>
  <si>
    <t>INDMFG:Maschinenbau</t>
  </si>
  <si>
    <t>Machinery &amp; Equipment (Maschinenbau)</t>
  </si>
  <si>
    <t>Maschinenbau &amp; Anlagenbau</t>
  </si>
  <si>
    <t>Machinery &amp; Equipment</t>
  </si>
  <si>
    <t>INDMFG:Auto_Tier</t>
  </si>
  <si>
    <t>Automotive Suppliers (Tierâ€‘1/2/3)</t>
  </si>
  <si>
    <t>Automobilzulieferer (Tierâ€‘1/2/3)</t>
  </si>
  <si>
    <t>Automotive Suppliers (Tier-1/2/3)</t>
  </si>
  <si>
    <t>INDMFG:Automation</t>
  </si>
  <si>
    <t>Industrial Automation &amp; Robotics</t>
  </si>
  <si>
    <t>Industrieautomation &amp; Robotik</t>
  </si>
  <si>
    <t>INDMFG:Metal</t>
  </si>
  <si>
    <t>Metalworking &amp; Fabrication</t>
  </si>
  <si>
    <t>Metallbearbeitung &amp; Fertigung</t>
  </si>
  <si>
    <t>INDMFG:Plastics</t>
  </si>
  <si>
    <t>Plastics Processing (Spritzguss/Extrusion)</t>
  </si>
  <si>
    <t>Kunststoffverarbeitung (Spritzguss/Extrusion)</t>
  </si>
  <si>
    <t>Plastics Processing</t>
  </si>
  <si>
    <t>INDMFG:EMS</t>
  </si>
  <si>
    <t>Electronics Manufacturing Services (EMS)</t>
  </si>
  <si>
    <t>Elektronikfertigung (EMS)</t>
  </si>
  <si>
    <t>Electronics Manufacturing Services</t>
  </si>
  <si>
    <t>INDMFG:HVAC_Equip</t>
  </si>
  <si>
    <t>HVAC Equipment Manufacturing</t>
  </si>
  <si>
    <t>HLKâ€‘GerÃ¤tefertigung</t>
  </si>
  <si>
    <t>INDMFG:Comp_Ind</t>
  </si>
  <si>
    <t>Industrial Components (Valves/Bearings)</t>
  </si>
  <si>
    <t>Industriekomponenten (Ventile/Lager)</t>
  </si>
  <si>
    <t>INDMFG:PackMach</t>
  </si>
  <si>
    <t>Packaging &amp; Printing Machinery</t>
  </si>
  <si>
    <t>Verpackungsâ€‘ &amp; Druckmaschinen</t>
  </si>
  <si>
    <t>INDMFG:JobShop</t>
  </si>
  <si>
    <t>Contract Manufacturing / Job Shops</t>
  </si>
  <si>
    <t>Lohnfertigung / Auftragsfertiger</t>
  </si>
  <si>
    <t>INDMFG:Surface</t>
  </si>
  <si>
    <t>Surface Treatment &amp; Coating</t>
  </si>
  <si>
    <t>OberflÃ¤chenbehandlung &amp; Beschichtung</t>
  </si>
  <si>
    <t>INDMFG:Textile_Ind</t>
  </si>
  <si>
    <t>Technical Textiles</t>
  </si>
  <si>
    <t>Technische Textilien</t>
  </si>
  <si>
    <t>AUTO</t>
  </si>
  <si>
    <t>Automotive &amp; Mobility</t>
  </si>
  <si>
    <t>Automotive &amp; MobilitÃ¤t</t>
  </si>
  <si>
    <t>AUTO:Aftermarket</t>
  </si>
  <si>
    <t>Aftermarket Parts &amp; Accessories</t>
  </si>
  <si>
    <t>Aftermarketâ€‘Teile &amp; ZubehÃ¶r</t>
  </si>
  <si>
    <t>AUTO:Repair</t>
  </si>
  <si>
    <t>Auto Repair &amp; Body Shops</t>
  </si>
  <si>
    <t>Kfzâ€‘WerkstÃ¤tten &amp; Karosserie</t>
  </si>
  <si>
    <t>AUTO:Dealers</t>
  </si>
  <si>
    <t>Dealer Groups (Multiâ€‘brand)</t>
  </si>
  <si>
    <t>Autohausâ€‘Gruppen (Mehrmarke)</t>
  </si>
  <si>
    <t>Dealer Groups (Multi-brand)</t>
  </si>
  <si>
    <t>AUTO:Fleet</t>
  </si>
  <si>
    <t>Fleet Management &amp; Services</t>
  </si>
  <si>
    <t>Flottenmanagement &amp; Services</t>
  </si>
  <si>
    <t>AUTO:EV_Charge</t>
  </si>
  <si>
    <t>EV Charging Installers &amp; Ops</t>
  </si>
  <si>
    <t>Ladeinfrastrukturâ€‘Installateure &amp; Betrieb</t>
  </si>
  <si>
    <t>AUTO:Car_Rental</t>
  </si>
  <si>
    <t>Car Rental &amp; Carsharing</t>
  </si>
  <si>
    <t>Autovermietung &amp; Carsharing</t>
  </si>
  <si>
    <t>AUTO:Mobility_SW</t>
  </si>
  <si>
    <t>Mobility Software &amp; Telematics</t>
  </si>
  <si>
    <t>MobilitÃ¤tssoftware &amp; Telematik</t>
  </si>
  <si>
    <t>AUTO:Parts_Dist</t>
  </si>
  <si>
    <t>Auto Parts Distribution/Wholesale</t>
  </si>
  <si>
    <t>TeilegroÃŸhandel &amp; Distribution</t>
  </si>
  <si>
    <t>AUTO:Tire</t>
  </si>
  <si>
    <t>Tire Retail &amp; Services</t>
  </si>
  <si>
    <t>Reifenhandel &amp; Service</t>
  </si>
  <si>
    <t>AUTO:Detailing</t>
  </si>
  <si>
    <t>Auto Detailing &amp; Smart Repair</t>
  </si>
  <si>
    <t>Fahrzeugaufbereitung &amp; Smartâ€‘Repair</t>
  </si>
  <si>
    <t>AUTO:Retrofit</t>
  </si>
  <si>
    <t>Retrofit/Conversions</t>
  </si>
  <si>
    <t>Umbau &amp; NachrÃ¼stung</t>
  </si>
  <si>
    <t>AUTO:Moto</t>
  </si>
  <si>
    <t>Motorcycle Dealers &amp; Services</t>
  </si>
  <si>
    <t>Motorradhandel &amp; Service</t>
  </si>
  <si>
    <t>BUILT</t>
  </si>
  <si>
    <t>Built Environment (Construction, Building Products &amp; Real Estate)</t>
  </si>
  <si>
    <t>GebÃ¤udewelt (Bau, Baustoffe &amp; Immobilien)</t>
  </si>
  <si>
    <t>BUILT:GC</t>
  </si>
  <si>
    <t>General Contractors (Hochâ€‘/Tiefbau)</t>
  </si>
  <si>
    <t>Generalunternehmer (Hochâ€‘/Tiefbau)</t>
  </si>
  <si>
    <t>General Contractors (Hoch-/Tiefbau)</t>
  </si>
  <si>
    <t>BUILT:SHK</t>
  </si>
  <si>
    <t>HVAC/Plumbing Installers (SHK)</t>
  </si>
  <si>
    <t>SHKâ€‘Betriebe (SanitÃ¤r/Heizung/Klima)</t>
  </si>
  <si>
    <t>BUILT:Elektro</t>
  </si>
  <si>
    <t>Electrical Contractors</t>
  </si>
  <si>
    <t>Elektroinstallationen</t>
  </si>
  <si>
    <t>BUILT:Roof</t>
  </si>
  <si>
    <t>Roofing &amp; Facades</t>
  </si>
  <si>
    <t>Dach &amp; Fassade</t>
  </si>
  <si>
    <t>BUILT:Carp</t>
  </si>
  <si>
    <t>Carpentry/Joinery</t>
  </si>
  <si>
    <t>Zimmerei/Tischlerei</t>
  </si>
  <si>
    <t>BUILT:Finish</t>
  </si>
  <si>
    <t>Interior Finishing (Drywall/Paint)</t>
  </si>
  <si>
    <t>Innenausbau (Trockenbau/Malerei)</t>
  </si>
  <si>
    <t>BUILT:Windows</t>
  </si>
  <si>
    <t>Windows/Doors &amp; Facade Systems</t>
  </si>
  <si>
    <t>Fenster/TÃ¼ren &amp; Fassadensysteme</t>
  </si>
  <si>
    <t>BUILT:Floor</t>
  </si>
  <si>
    <t>Flooring &amp; Tiles</t>
  </si>
  <si>
    <t>BÃ¶den &amp; Fliesen</t>
  </si>
  <si>
    <t>BUILT:Prefab</t>
  </si>
  <si>
    <t>Modular/Prefabricated Construction</t>
  </si>
  <si>
    <t>Modulâ€‘/Fertigbau</t>
  </si>
  <si>
    <t>BUILT:FM</t>
  </si>
  <si>
    <t>Facility Management &amp; Technical FM</t>
  </si>
  <si>
    <t>Facility Management &amp; Technisches FM</t>
  </si>
  <si>
    <t>BUILT:Mat_Build</t>
  </si>
  <si>
    <t>Building Materials (Cement/Insulation)</t>
  </si>
  <si>
    <t>Baustoffe (Zement/DÃ¤mmung)</t>
  </si>
  <si>
    <t>BUILT:RE_Dev</t>
  </si>
  <si>
    <t>Real Estate Development</t>
  </si>
  <si>
    <t>Projektentwicklung</t>
  </si>
  <si>
    <t>BUILT:RE_Mgmt</t>
  </si>
  <si>
    <t>Property/Asset Management</t>
  </si>
  <si>
    <t>Immobilienverwaltung/Asset Management</t>
  </si>
  <si>
    <t>BUILT:RE_Broker</t>
  </si>
  <si>
    <t>Brokerage &amp; Valuation</t>
  </si>
  <si>
    <t>Makler &amp; Bewertung</t>
  </si>
  <si>
    <t>BUILT:PV_Carp</t>
  </si>
  <si>
    <t>Solar Rooftop Integration (B2B/B2C)</t>
  </si>
  <si>
    <t>PVâ€‘Dachintegration (B2B/B2C)</t>
  </si>
  <si>
    <t>ENERGY</t>
  </si>
  <si>
    <t>Energy &amp; Environmental Services</t>
  </si>
  <si>
    <t>Energie &amp; Umwelt</t>
  </si>
  <si>
    <t>ENERGY:PV_EPC</t>
  </si>
  <si>
    <t>Solar PV EPC</t>
  </si>
  <si>
    <t>Solarâ€‘EPC</t>
  </si>
  <si>
    <t>ENERGY:Wind_Serv</t>
  </si>
  <si>
    <t>Wind Services &amp; O&amp;M</t>
  </si>
  <si>
    <t>Windâ€‘Services &amp; O&amp;M</t>
  </si>
  <si>
    <t>ENERGY:HeatPump</t>
  </si>
  <si>
    <t>Heat Pump Installers</t>
  </si>
  <si>
    <t>WÃ¤rmepumpenâ€‘Installateure</t>
  </si>
  <si>
    <t>ENERGY:ESCO</t>
  </si>
  <si>
    <t>Energy Efficiency / ESCO</t>
  </si>
  <si>
    <t>Energieeffizienz / ESCO</t>
  </si>
  <si>
    <t>ENERGY:Grid</t>
  </si>
  <si>
    <t>Grid Services &amp; Electrical Infra</t>
  </si>
  <si>
    <t>Netzdienstleistungen &amp; Elektroâ€‘Infrastruktur</t>
  </si>
  <si>
    <t>ENERGY:Waste</t>
  </si>
  <si>
    <t>Waste Management &amp; Recycling</t>
  </si>
  <si>
    <t>Abfallwirtschaft &amp; Recycling</t>
  </si>
  <si>
    <t>ENERGY:Water</t>
  </si>
  <si>
    <t>Water Treatment</t>
  </si>
  <si>
    <t>Wasseraufbereitung</t>
  </si>
  <si>
    <t>ENERGY:Biogas</t>
  </si>
  <si>
    <t>Biogas &amp; Biomass</t>
  </si>
  <si>
    <t>Biogas &amp; Biomasse</t>
  </si>
  <si>
    <t>ENERGY:District</t>
  </si>
  <si>
    <t>District Heating/Cooling</t>
  </si>
  <si>
    <t>FernwÃ¤rme/-kÃ¤lte</t>
  </si>
  <si>
    <t>ENERGY:Env_Consult</t>
  </si>
  <si>
    <t>Environmental Consulting</t>
  </si>
  <si>
    <t>Umweltberatung</t>
  </si>
  <si>
    <t>ENERGY:PV_OandM</t>
  </si>
  <si>
    <t>Solar O&amp;M</t>
  </si>
  <si>
    <t>Solarâ€‘Betrieb &amp; Wartung</t>
  </si>
  <si>
    <t>ENERGY:Battery</t>
  </si>
  <si>
    <t>Battery Storage Integrators</t>
  </si>
  <si>
    <t>Batteriespeicherâ€‘Integratoren</t>
  </si>
  <si>
    <t>LOG</t>
  </si>
  <si>
    <t>Transportation &amp; Logistics</t>
  </si>
  <si>
    <t>Transport &amp; Logistik</t>
  </si>
  <si>
    <t>LOG:FF</t>
  </si>
  <si>
    <t>Freight Forwarding</t>
  </si>
  <si>
    <t>Spedition</t>
  </si>
  <si>
    <t>LOG:3PL</t>
  </si>
  <si>
    <t>3PL &amp; Contract Logistics</t>
  </si>
  <si>
    <t>3PL &amp; Kontraktlogistik</t>
  </si>
  <si>
    <t>LOG:LMD</t>
  </si>
  <si>
    <t>Lastâ€‘Mile Delivery</t>
  </si>
  <si>
    <t>Letzteâ€‘Meileâ€‘Zustellung</t>
  </si>
  <si>
    <t>Last-Mile Delivery</t>
  </si>
  <si>
    <t>LOG:CEP</t>
  </si>
  <si>
    <t>Courier/Express/Parcel (CEP)</t>
  </si>
  <si>
    <t>Kurier/Express/Paket (KEP)</t>
  </si>
  <si>
    <t>LOG:Road</t>
  </si>
  <si>
    <t>Road Haulage</t>
  </si>
  <si>
    <t>GÃ¼terkraftverkehr</t>
  </si>
  <si>
    <t>LOG:Ware</t>
  </si>
  <si>
    <t>Warehousing &amp; Fulfillment</t>
  </si>
  <si>
    <t>Lager &amp; Fulfillment</t>
  </si>
  <si>
    <t>LOG:Cold</t>
  </si>
  <si>
    <t>Cold Chain Logistics</t>
  </si>
  <si>
    <t>KÃ¼hlkette</t>
  </si>
  <si>
    <t>LOG:Maritime</t>
  </si>
  <si>
    <t>Maritime Agencies &amp; Services</t>
  </si>
  <si>
    <t>Schifffahrtsagenturen &amp; Dienste</t>
  </si>
  <si>
    <t>LOG:Rail</t>
  </si>
  <si>
    <t>Rail Logistics &amp; Services</t>
  </si>
  <si>
    <t>Bahnlogistik &amp; Services</t>
  </si>
  <si>
    <t>LOG:Air</t>
  </si>
  <si>
    <t>Air Cargo Handlers</t>
  </si>
  <si>
    <t>Luftfrachtabfertigung</t>
  </si>
  <si>
    <t>LOG:Customs</t>
  </si>
  <si>
    <t>Customs Brokerage</t>
  </si>
  <si>
    <t>Zollabwicklung</t>
  </si>
  <si>
    <t>LOG:eCom_Log</t>
  </si>
  <si>
    <t>Eâ€‘Commerce Logistics</t>
  </si>
  <si>
    <t>Eâ€‘Commerceâ€‘Logistik</t>
  </si>
  <si>
    <t>E-Commerce Logistics</t>
  </si>
  <si>
    <t>CONS_G</t>
  </si>
  <si>
    <t>Consumer Goods (FMCG &amp; Durables)</t>
  </si>
  <si>
    <t>KonsumgÃ¼ter (FMCG &amp; GebrauchsgÃ¼ter)</t>
  </si>
  <si>
    <t>CONS_G:FMCG</t>
  </si>
  <si>
    <t>Food &amp; Beverage Manufacturing</t>
  </si>
  <si>
    <t>Lebensmittel &amp; GetrÃ¤nkeherstellung</t>
  </si>
  <si>
    <t>CONS_G:Household</t>
  </si>
  <si>
    <t>Household &amp; Cleaning Products</t>
  </si>
  <si>
    <t>Haushaltsâ€‘ &amp; Reinigungsprodukte</t>
  </si>
  <si>
    <t>CONS_G:Personal</t>
  </si>
  <si>
    <t>Personal Care &amp; Cosmetics</t>
  </si>
  <si>
    <t>KÃ¶rperpflege &amp; Kosmetik</t>
  </si>
  <si>
    <t>CONS_G:Apparel</t>
  </si>
  <si>
    <t>Apparel &amp; Textiles</t>
  </si>
  <si>
    <t>Bekleidung &amp; Textilien</t>
  </si>
  <si>
    <t>CONS_G:Footwear</t>
  </si>
  <si>
    <t>Footwear</t>
  </si>
  <si>
    <t>Schuhe</t>
  </si>
  <si>
    <t>CONS_G:Sports</t>
  </si>
  <si>
    <t>Sporting Goods</t>
  </si>
  <si>
    <t>Sportartikel</t>
  </si>
  <si>
    <t>CONS_G:Furniture</t>
  </si>
  <si>
    <t>Furniture &amp; Home</t>
  </si>
  <si>
    <t>MÃ¶bel &amp; Wohnen</t>
  </si>
  <si>
    <t>CONS_G:CE</t>
  </si>
  <si>
    <t>Consumer Electronics Brands</t>
  </si>
  <si>
    <t>Consumer Electronics Marken</t>
  </si>
  <si>
    <t>CONS_G:Baby</t>
  </si>
  <si>
    <t>Baby &amp; Kids Products</t>
  </si>
  <si>
    <t>Babyâ€‘ &amp; Kinderprodukte</t>
  </si>
  <si>
    <t>CONS_G:Pet</t>
  </si>
  <si>
    <t>Pet Care Products</t>
  </si>
  <si>
    <t>Heimtierprodukte</t>
  </si>
  <si>
    <t>CONS_G:DIY</t>
  </si>
  <si>
    <t>DIY/Tools (nonâ€‘retail)</t>
  </si>
  <si>
    <t>DIY/Werkzeuge (nicht Handel)</t>
  </si>
  <si>
    <t>DIY/Tools (non-retail)</t>
  </si>
  <si>
    <t>CONS_G:SmokingAlt</t>
  </si>
  <si>
    <t>Nonâ€‘tobacco Nicotine Alts (legal)</t>
  </si>
  <si>
    <t>Nikotinalternativen (legal)</t>
  </si>
  <si>
    <t>Non-tobacco Nicotine Alts (legal)</t>
  </si>
  <si>
    <t>RETAIL</t>
  </si>
  <si>
    <t>Retail &amp; Eâ€‘Commerce</t>
  </si>
  <si>
    <t>Einzelhandel &amp; Eâ€‘Commerce</t>
  </si>
  <si>
    <t>RETAIL:Grocery</t>
  </si>
  <si>
    <t>Grocery &amp; Specialty Food Retail</t>
  </si>
  <si>
    <t>Lebensmittelâ€‘ &amp; Feinkosthandel</t>
  </si>
  <si>
    <t>RETAIL:Pharma_Retail</t>
  </si>
  <si>
    <t>Pharmacy &amp; Health Retail*</t>
  </si>
  <si>
    <t>Apotheken &amp; Gesundheitsfachhandel*</t>
  </si>
  <si>
    <t>Pharmacy &amp; Health Retail</t>
  </si>
  <si>
    <t>RETAIL:Electronics_R</t>
  </si>
  <si>
    <t>Consumer Electronics Retail</t>
  </si>
  <si>
    <t>Elektronikâ€‘Einzelhandel</t>
  </si>
  <si>
    <t>RETAIL:DIY_R</t>
  </si>
  <si>
    <t>DIY/Building Materials Retail</t>
  </si>
  <si>
    <t>Baumarktâ€‘Einzelhandel</t>
  </si>
  <si>
    <t>RETAIL:Fashion_R</t>
  </si>
  <si>
    <t>Fashion &amp; Footwear Retail</t>
  </si>
  <si>
    <t>Modeâ€‘ &amp; Schuhhandel</t>
  </si>
  <si>
    <t>RETAIL:Home_R</t>
  </si>
  <si>
    <t>Home &amp; Furniture Retail</t>
  </si>
  <si>
    <t>MÃ¶belâ€‘ &amp; Wohnhandel</t>
  </si>
  <si>
    <t>RETAIL:AutoParts_R</t>
  </si>
  <si>
    <t>Auto Parts Retail</t>
  </si>
  <si>
    <t>AutozubehÃ¶râ€‘Handel</t>
  </si>
  <si>
    <t>RETAIL:Ecom_D2C</t>
  </si>
  <si>
    <t>D2C Brands (Onlineâ€‘only)</t>
  </si>
  <si>
    <t>D2Câ€‘Marken (nur online)</t>
  </si>
  <si>
    <t>D2C Brands (Online-only)</t>
  </si>
  <si>
    <t>RETAIL:Marketplaces</t>
  </si>
  <si>
    <t>Niche Marketplaces</t>
  </si>
  <si>
    <t>Nischenâ€‘MarktplÃ¤tze</t>
  </si>
  <si>
    <t>RETAIL:Omni</t>
  </si>
  <si>
    <t>Omnichannel Retailers</t>
  </si>
  <si>
    <t>Omnichannelâ€‘HÃ¤ndler</t>
  </si>
  <si>
    <t>RETAIL:Optic</t>
  </si>
  <si>
    <t>Optical Retail</t>
  </si>
  <si>
    <t>Optikerâ€‘Einzelhandel</t>
  </si>
  <si>
    <t>RETAIL:Fuel</t>
  </si>
  <si>
    <t>Fuel Stations &amp; Convenience</t>
  </si>
  <si>
    <t>Tankstellen &amp; Convenience</t>
  </si>
  <si>
    <t>HEALTH</t>
  </si>
  <si>
    <t>Healthcare &amp; Life Sciences</t>
  </si>
  <si>
    <t>Gesundheit &amp; Life Sciences</t>
  </si>
  <si>
    <t>HEALTH:MVZ</t>
  </si>
  <si>
    <t>Outpatient Clinics (MVZ)</t>
  </si>
  <si>
    <t>Ambulante Praxen (MVZ)</t>
  </si>
  <si>
    <t>HEALTH:Dental</t>
  </si>
  <si>
    <t>Dental Clinics</t>
  </si>
  <si>
    <t>Zahnkliniken</t>
  </si>
  <si>
    <t>HEALTH:DentalLab</t>
  </si>
  <si>
    <t>Dental Laboratories</t>
  </si>
  <si>
    <t>Dentallabore</t>
  </si>
  <si>
    <t>HEALTH:Imaging</t>
  </si>
  <si>
    <t>Radiology &amp; Imaging Centers</t>
  </si>
  <si>
    <t>Radiologie &amp; Bildgebung</t>
  </si>
  <si>
    <t>HEALTH:Physio</t>
  </si>
  <si>
    <t>Physiotherapy &amp; Rehab</t>
  </si>
  <si>
    <t>Physiotherapie &amp; Reha</t>
  </si>
  <si>
    <t>HEALTH:Nursing</t>
  </si>
  <si>
    <t>Elderly Care/Nursing (inpatient)</t>
  </si>
  <si>
    <t>Pflegeheime (stationÃ¤r)</t>
  </si>
  <si>
    <t>HEALTH:HomeCare</t>
  </si>
  <si>
    <t>Ambulatory/Home Care</t>
  </si>
  <si>
    <t>Ambulante Pflege/Betreuung</t>
  </si>
  <si>
    <t>HEALTH:MedTech</t>
  </si>
  <si>
    <t>Medical Devices (SME)</t>
  </si>
  <si>
    <t>Medizintechnik (KMU)</t>
  </si>
  <si>
    <t>HEALTH:Pharma_SM</t>
  </si>
  <si>
    <t>Pharma Manufacturing (SME)</t>
  </si>
  <si>
    <t>Pharmaâ€‘Herstellung (KMU)</t>
  </si>
  <si>
    <t>HEALTH:CRO_CMO</t>
  </si>
  <si>
    <t>CRO/CMO (small &amp; mid)</t>
  </si>
  <si>
    <t>CRO/CMO (klein &amp; mittel)</t>
  </si>
  <si>
    <t>HEALTH:HealthIT</t>
  </si>
  <si>
    <t>Health IT &amp; Practice Software</t>
  </si>
  <si>
    <t>Healthâ€‘IT &amp; Praxissoftware</t>
  </si>
  <si>
    <t>HEALTH:Vet</t>
  </si>
  <si>
    <t>Veterinary Clinics &amp; Labs</t>
  </si>
  <si>
    <t>TierÃ¤rztliche Kliniken &amp; Labore</t>
  </si>
  <si>
    <t>BIZ</t>
  </si>
  <si>
    <t>Business &amp; Professional Services</t>
  </si>
  <si>
    <t>GeschÃ¤ftsâ€‘ &amp; Profidienstleistungen</t>
  </si>
  <si>
    <t>BIZ:Accounting</t>
  </si>
  <si>
    <t>Accounting &amp; Tax (Steuerberatung)</t>
  </si>
  <si>
    <t>Steuerberatung &amp; Buchhaltung</t>
  </si>
  <si>
    <t>BIZ:Legal</t>
  </si>
  <si>
    <t>Legal Services (Boutiques)</t>
  </si>
  <si>
    <t>Rechtsdienstleistungen (Boutiquen)</t>
  </si>
  <si>
    <t>BIZ:Consult</t>
  </si>
  <si>
    <t>Consulting Boutiques</t>
  </si>
  <si>
    <t>Beratungsboutiquen</t>
  </si>
  <si>
    <t>BIZ:Staffing</t>
  </si>
  <si>
    <t>Staffing/Recruitment</t>
  </si>
  <si>
    <t>Personalvermittlung</t>
  </si>
  <si>
    <t>BIZ:Cleaning</t>
  </si>
  <si>
    <t>Cleaning &amp; Janitorial</t>
  </si>
  <si>
    <t>GebÃ¤udereinigung</t>
  </si>
  <si>
    <t>BIZ:Security</t>
  </si>
  <si>
    <t>Security Services</t>
  </si>
  <si>
    <t>Sicherheitsdienste</t>
  </si>
  <si>
    <t>BIZ:Marketing</t>
  </si>
  <si>
    <t>Marketing &amp; Creative Agencies</t>
  </si>
  <si>
    <t>Marketingâ€‘ &amp; Kreativagenturen</t>
  </si>
  <si>
    <t>BIZ:Trans_Local</t>
  </si>
  <si>
    <t>Translation &amp; Localization</t>
  </si>
  <si>
    <t>Ãœbersetzung &amp; Lokalisierung</t>
  </si>
  <si>
    <t>BIZ:BPO</t>
  </si>
  <si>
    <t>Call Centers &amp; BPO</t>
  </si>
  <si>
    <t>Callcenter &amp; BPO</t>
  </si>
  <si>
    <t>BIZ:Doc_Mgmt</t>
  </si>
  <si>
    <t>Document/Print Management</t>
  </si>
  <si>
    <t>Dokumentenâ€‘/Printâ€‘Management</t>
  </si>
  <si>
    <t>BIZ:Ed_Corp</t>
  </si>
  <si>
    <t>Corporate Training &amp; Eâ€‘Learning</t>
  </si>
  <si>
    <t>Unternehmensschulungen &amp; Eâ€‘Learning</t>
  </si>
  <si>
    <t>Corporate Training &amp; E-Learning</t>
  </si>
  <si>
    <t>BIZ:Events</t>
  </si>
  <si>
    <t>Events &amp; Exhibitions Services</t>
  </si>
  <si>
    <t>Eventâ€‘ &amp; Messeâ€‘Services</t>
  </si>
  <si>
    <t>FIN</t>
  </si>
  <si>
    <t>Financial Services</t>
  </si>
  <si>
    <t>Finanzdienstleistungen</t>
  </si>
  <si>
    <t>FIN:WM</t>
  </si>
  <si>
    <t>Wealth/Asset Management Boutiques</t>
  </si>
  <si>
    <t>VermÃ¶gens-/Assetâ€‘Manager (Boutiquen)</t>
  </si>
  <si>
    <t>FIN:Ins_Broker</t>
  </si>
  <si>
    <t>Insurance Brokerage (Makler)</t>
  </si>
  <si>
    <t>Versicherungsmakler</t>
  </si>
  <si>
    <t>FIN:Leasing</t>
  </si>
  <si>
    <t>Leasing &amp; Factoring</t>
  </si>
  <si>
    <t>FIN:PSP</t>
  </si>
  <si>
    <t>Payment Service Providers (SME)</t>
  </si>
  <si>
    <t>Zahlungsdienstleister (KMU)</t>
  </si>
  <si>
    <t>FIN:Fin_Lend</t>
  </si>
  <si>
    <t>Fintech Lending/Invoice Finance</t>
  </si>
  <si>
    <t>Fintechâ€‘Kredite/Factoringâ€‘Plattformen</t>
  </si>
  <si>
    <t>FIN:Corp_Serv</t>
  </si>
  <si>
    <t>Corporate Services/Trust</t>
  </si>
  <si>
    <t>Corporate Services/Treuhand</t>
  </si>
  <si>
    <t>FIN:FX</t>
  </si>
  <si>
    <t>FX &amp; Brokerage (MiFID firms)</t>
  </si>
  <si>
    <t>FX &amp; Brokerage (MiFID)</t>
  </si>
  <si>
    <t>FIN:ATM_Cash</t>
  </si>
  <si>
    <t>Cash Handling &amp; ATM Ops</t>
  </si>
  <si>
    <t>Bargeldlogistik &amp; ATMâ€‘Betrieb</t>
  </si>
  <si>
    <t>FIN:RegTech</t>
  </si>
  <si>
    <t>RegTech &amp; Compliance Services</t>
  </si>
  <si>
    <t>RegTech &amp; Complianceâ€‘Services</t>
  </si>
  <si>
    <t>FIN:PSV</t>
  </si>
  <si>
    <t>Pension/Benefits Admin (SME)</t>
  </si>
  <si>
    <t>BAV/Benefitsâ€‘Administration (KMU)</t>
  </si>
  <si>
    <t>MEDIA</t>
  </si>
  <si>
    <t>Media, Telecom &amp; Communications</t>
  </si>
  <si>
    <t>Medien, Telekom &amp; Kommunikation</t>
  </si>
  <si>
    <t>MEDIA:Digital_Ag</t>
  </si>
  <si>
    <t>Digital Media/Performance Agencies</t>
  </si>
  <si>
    <t>Digitalâ€‘/Performanceâ€‘Agenturen</t>
  </si>
  <si>
    <t>MEDIA:Publish</t>
  </si>
  <si>
    <t>Publishers &amp; Niche Media</t>
  </si>
  <si>
    <t>Verlage &amp; Nischenmedien</t>
  </si>
  <si>
    <t>MEDIA:OOH</t>
  </si>
  <si>
    <t>Outâ€‘ofâ€‘Home Advertising</t>
  </si>
  <si>
    <t>AuÃŸenwerbung</t>
  </si>
  <si>
    <t>Out-of-Home Advertising</t>
  </si>
  <si>
    <t>MEDIA:Prod_Post</t>
  </si>
  <si>
    <t>Production &amp; Postâ€‘Production</t>
  </si>
  <si>
    <t>Produktion &amp; Postproduktion</t>
  </si>
  <si>
    <t>Production &amp; Post-Production</t>
  </si>
  <si>
    <t>MEDIA:ISP</t>
  </si>
  <si>
    <t>ISPs &amp; Regional Telecoms</t>
  </si>
  <si>
    <t>ISPs &amp; regionale Telekoms</t>
  </si>
  <si>
    <t>MEDIA:Fiber</t>
  </si>
  <si>
    <t>Fiber Rollout &amp; Installers</t>
  </si>
  <si>
    <t>Glasfaserâ€‘Ausbau &amp; Installateure</t>
  </si>
  <si>
    <t>MEDIA:UC</t>
  </si>
  <si>
    <t>Unified Communications/VoIP</t>
  </si>
  <si>
    <t>MEDIA:DataCtr</t>
  </si>
  <si>
    <t>Edge/Regional Data Centers</t>
  </si>
  <si>
    <t>Edge/Regionale Rechenzentren</t>
  </si>
  <si>
    <t>MEDIA:Sat_Comm</t>
  </si>
  <si>
    <t>Satellite &amp; RF Services (SME)</t>
  </si>
  <si>
    <t>Satellit &amp; Funkdienste (KMU)</t>
  </si>
  <si>
    <t>MEDIA:Gaming_S</t>
  </si>
  <si>
    <t>Gaming Studios (SME)</t>
  </si>
  <si>
    <t>Gamingâ€‘Studios (KMU)</t>
  </si>
  <si>
    <t>AGRI</t>
  </si>
  <si>
    <t>Agriculture &amp; Food Supply</t>
  </si>
  <si>
    <t>Landwirtschaft &amp; Lebensmittel</t>
  </si>
  <si>
    <t>AGRI:Farming</t>
  </si>
  <si>
    <t>Crop &amp; Mixed Farming</t>
  </si>
  <si>
    <t>Ackerbau &amp; Mischbetriebe</t>
  </si>
  <si>
    <t>AGRI:Hortic</t>
  </si>
  <si>
    <t>Greenhouses &amp; Horticulture</t>
  </si>
  <si>
    <t>GewÃ¤chshaus &amp; Gartenbau</t>
  </si>
  <si>
    <t>AGRI:Livestock</t>
  </si>
  <si>
    <t>Livestock &amp; Poultry</t>
  </si>
  <si>
    <t>Viehzucht &amp; GeflÃ¼gel</t>
  </si>
  <si>
    <t>AGRI:Dairy</t>
  </si>
  <si>
    <t>Dairy Farms &amp; Processing</t>
  </si>
  <si>
    <t>Milchbetriebe &amp; Verarbeitung</t>
  </si>
  <si>
    <t>AGRI:FoodProc</t>
  </si>
  <si>
    <t>Food Processing (Meat/Bakery/etc.)</t>
  </si>
  <si>
    <t>Lebensmittelverarbeitung (Fleisch/BÃ¤ckerei/â€¦)</t>
  </si>
  <si>
    <t>AGRI:Brew</t>
  </si>
  <si>
    <t>Breweries &amp; Beverage Producers</t>
  </si>
  <si>
    <t>Brauereien &amp; GetrÃ¤nkehersteller</t>
  </si>
  <si>
    <t>AGRI:Wholesale</t>
  </si>
  <si>
    <t>Food Wholesale &amp; Distribution</t>
  </si>
  <si>
    <t>Lebensmittelâ€‘GroÃŸhandel &amp; Distribution</t>
  </si>
  <si>
    <t>AGRI:Cold_Stor</t>
  </si>
  <si>
    <t>Cold Storage</t>
  </si>
  <si>
    <t>KÃ¼hlhÃ¤user</t>
  </si>
  <si>
    <t>AGRI:Organic</t>
  </si>
  <si>
    <t>Organic &amp; Specialty Foods</t>
  </si>
  <si>
    <t>Bio &amp; SpezialitÃ¤ten</t>
  </si>
  <si>
    <t>AGRI:AgriTech</t>
  </si>
  <si>
    <t>AgriTech &amp; Farm Equipment</t>
  </si>
  <si>
    <t>AgriTech &amp; Landtechnik</t>
  </si>
  <si>
    <t>CHEM</t>
  </si>
  <si>
    <t>Chemicals &amp; Materials</t>
  </si>
  <si>
    <t>Chemie &amp; Werkstoffe</t>
  </si>
  <si>
    <t>CHEM:Spec_Chem</t>
  </si>
  <si>
    <t>Specialty Chemicals</t>
  </si>
  <si>
    <t>Spezialchemie</t>
  </si>
  <si>
    <t>CHEM:Paints</t>
  </si>
  <si>
    <t>Paints, Coatings &amp; Inks</t>
  </si>
  <si>
    <t>Farben, Lacke &amp; Druckfarben</t>
  </si>
  <si>
    <t>CHEM:Adhesive</t>
  </si>
  <si>
    <t>Adhesives &amp; Sealants</t>
  </si>
  <si>
    <t>Klebstoffe &amp; Dichtmassen</t>
  </si>
  <si>
    <t>CHEM:Rubber</t>
  </si>
  <si>
    <t>Rubber &amp; Elastomers</t>
  </si>
  <si>
    <t>Kautschuk &amp; Elastomere</t>
  </si>
  <si>
    <t>CHEM:Composites</t>
  </si>
  <si>
    <t>Composites &amp; Advanced Materials</t>
  </si>
  <si>
    <t>Komposite &amp; Hochleistungswerkstoffe</t>
  </si>
  <si>
    <t>CHEM:Gases</t>
  </si>
  <si>
    <t>Industrial Gases (distributors)</t>
  </si>
  <si>
    <t>Industriegase (Handel)</t>
  </si>
  <si>
    <t>CHEM:Recycling_Mat</t>
  </si>
  <si>
    <t>Materials Recycling &amp; Recovery</t>
  </si>
  <si>
    <t>Werkstoffrecycling</t>
  </si>
  <si>
    <t>CHEM:PaperPack</t>
  </si>
  <si>
    <t>Paper &amp; Packaging Materials</t>
  </si>
  <si>
    <t>Papier &amp; Verpackungswerkstoffe</t>
  </si>
  <si>
    <t>CHEM:Chem_Dist</t>
  </si>
  <si>
    <t>Chemical Distribution</t>
  </si>
  <si>
    <t>Chemikalienhandel</t>
  </si>
  <si>
    <t>CHEM:Lab_Sup</t>
  </si>
  <si>
    <t>Lab Supplies &amp; Reagents</t>
  </si>
  <si>
    <t>Laborbedarf &amp; Reagenzien</t>
  </si>
  <si>
    <t>HOSP</t>
  </si>
  <si>
    <t>Hospitality &amp; Leisure</t>
  </si>
  <si>
    <t>Gastgewerbe &amp; Freizeit</t>
  </si>
  <si>
    <t>HOSP:Hotels</t>
  </si>
  <si>
    <t>Hotels &amp; Boutique Lodging</t>
  </si>
  <si>
    <t>Hotels &amp; Boutiqueâ€‘UnterkÃ¼nfte</t>
  </si>
  <si>
    <t>HOSP:Restaurants</t>
  </si>
  <si>
    <t>Restaurant Groups &amp; QSR</t>
  </si>
  <si>
    <t>Restaurantketten &amp; QSR</t>
  </si>
  <si>
    <t>HOSP:Catering</t>
  </si>
  <si>
    <t>Catering &amp; Foodservice</t>
  </si>
  <si>
    <t>Catering &amp; Gemeinschaftsverpflegung</t>
  </si>
  <si>
    <t>HOSP:Travel</t>
  </si>
  <si>
    <t>Travel Agencies &amp; Tour Ops</t>
  </si>
  <si>
    <t>ReisebÃ¼ros &amp; Veranstalter</t>
  </si>
  <si>
    <t>HOSP:Fitness</t>
  </si>
  <si>
    <t>Fitness &amp; Wellness</t>
  </si>
  <si>
    <t>HOSP:Leisure</t>
  </si>
  <si>
    <t>Leisure Parks &amp; Attractions</t>
  </si>
  <si>
    <t>Freizeitparks &amp; Attraktionen</t>
  </si>
  <si>
    <t>HOSP:Events_Ven</t>
  </si>
  <si>
    <t>Venues &amp; Conference Centers</t>
  </si>
  <si>
    <t>Veranstaltungsorte &amp; Kongresszentren</t>
  </si>
  <si>
    <t>HOSP:Hospitality_Tech</t>
  </si>
  <si>
    <t>Hospitality Tech/Reservation SW</t>
  </si>
  <si>
    <t>Hospitalityâ€‘Tech/Reservierungssoftware</t>
  </si>
  <si>
    <t>HOSP:Vending</t>
  </si>
  <si>
    <t>Vending &amp; Microâ€‘Markets</t>
  </si>
  <si>
    <t>Vending &amp; Micro-Markets</t>
  </si>
  <si>
    <t>HOSP:Laundry</t>
  </si>
  <si>
    <t>Industrial Laundry Services</t>
  </si>
  <si>
    <t>Industrielle WÃ¤schereien</t>
  </si>
  <si>
    <t>Country_DeltaMultiple</t>
  </si>
  <si>
    <t>US</t>
  </si>
  <si>
    <t>FI</t>
  </si>
  <si>
    <t>CH</t>
  </si>
  <si>
    <t>Size_DeltaMultiple (banded by Revenue in EUR, use ONLY a RevMin_EUR column)</t>
  </si>
  <si>
    <t>Conc_DeltaMultiple (banded by Top-3 %, use ONLY a Top3_MinPct column)</t>
  </si>
  <si>
    <t>FX_To_EUR</t>
  </si>
  <si>
    <t>Deal_SizeBands (EV size → size subscore)</t>
  </si>
  <si>
    <t>Credit_Ratings</t>
  </si>
  <si>
    <t>Rating</t>
  </si>
  <si>
    <t>AA+</t>
  </si>
  <si>
    <t>AAA</t>
  </si>
  <si>
    <t>AA-</t>
  </si>
  <si>
    <t>A+</t>
  </si>
  <si>
    <t>BBB</t>
  </si>
  <si>
    <t>BBB+</t>
  </si>
  <si>
    <t>A</t>
  </si>
  <si>
    <t>A-</t>
  </si>
  <si>
    <t>BBB-</t>
  </si>
  <si>
    <t>B</t>
  </si>
  <si>
    <t>AA</t>
  </si>
  <si>
    <t>BB+</t>
  </si>
  <si>
    <t>B+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</si>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</sst>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i/>
      <sz val="10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EEEEE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</cellStyleXfs>
  <cellXfs count="58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5" fillId="4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4" fillId="7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4" fillId="0" borderId="0" xfId="2" applyFont="1" applyAlignment="1">
      <alignment horizontal="left" vertical="center" wrapText="1"/>
    </xf>
    <xf numFmtId="0" fontId="4" fillId="0" borderId="0" xfId="2" applyFont="1" applyAlignment="1">
      <alignment horizontal="right" vertical="center" wrapText="1"/>
    </xf>
    <xf numFmtId="0" fontId="5" fillId="0" borderId="0" xfId="2" applyFont="1" applyAlignment="1">
      <alignment horizontal="left" vertical="center" wrapText="1"/>
    </xf>
    <xf numFmtId="0" fontId="5" fillId="0" borderId="0" xfId="2" applyFont="1" applyAlignment="1">
      <alignment horizontal="right" vertical="center" wrapText="1"/>
    </xf>
    <xf numFmtId="3" fontId="5" fillId="0" borderId="0" xfId="2" applyNumberFormat="1" applyFont="1" applyAlignment="1">
      <alignment horizontal="left" vertical="center" wrapText="1"/>
    </xf>
    <xf numFmtId="2" fontId="5" fillId="3" borderId="0" xfId="0" applyNumberFormat="1" applyFont="1" applyFill="1" applyAlignment="1">
      <alignment horizontal="left" vertical="center"/>
    </xf>
    <xf numFmtId="3" fontId="5" fillId="3" borderId="0" xfId="0" applyNumberFormat="1" applyFont="1" applyFill="1" applyAlignment="1">
      <alignment horizontal="left" vertical="center"/>
    </xf>
    <xf numFmtId="1" fontId="5" fillId="4" borderId="0" xfId="0" applyNumberFormat="1" applyFont="1" applyFill="1" applyAlignment="1">
      <alignment horizontal="left" vertical="center" wrapText="1"/>
    </xf>
    <xf numFmtId="2" fontId="5" fillId="4" borderId="0" xfId="0" applyNumberFormat="1" applyFont="1" applyFill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3" fontId="5" fillId="0" borderId="0" xfId="0" applyNumberFormat="1" applyFont="1" applyAlignment="1">
      <alignment horizontal="left" vertical="center" wrapText="1"/>
    </xf>
    <xf numFmtId="10" fontId="5" fillId="3" borderId="0" xfId="1" applyNumberFormat="1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4" borderId="3" xfId="0" applyFont="1" applyFill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3" fontId="5" fillId="4" borderId="0" xfId="0" applyNumberFormat="1" applyFont="1" applyFill="1" applyBorder="1" applyAlignment="1">
      <alignment horizontal="left" vertical="center" wrapText="1"/>
    </xf>
    <xf numFmtId="3" fontId="5" fillId="4" borderId="2" xfId="0" applyNumberFormat="1" applyFont="1" applyFill="1" applyBorder="1" applyAlignment="1">
      <alignment horizontal="left" vertical="center" wrapText="1"/>
    </xf>
    <xf numFmtId="0" fontId="4" fillId="0" borderId="1" xfId="3" applyFont="1" applyBorder="1" applyAlignment="1">
      <alignment horizontal="left"/>
    </xf>
    <xf numFmtId="0" fontId="5" fillId="0" borderId="1" xfId="3" applyFont="1" applyBorder="1" applyAlignment="1">
      <alignment horizontal="right"/>
    </xf>
    <xf numFmtId="0" fontId="5" fillId="0" borderId="1" xfId="3" applyFont="1" applyBorder="1"/>
    <xf numFmtId="0" fontId="5" fillId="0" borderId="0" xfId="3" applyFont="1"/>
    <xf numFmtId="0" fontId="4" fillId="0" borderId="0" xfId="3" applyFont="1" applyBorder="1" applyAlignment="1">
      <alignment horizontal="left"/>
    </xf>
    <xf numFmtId="0" fontId="5" fillId="0" borderId="0" xfId="3" applyFont="1" applyBorder="1" applyAlignment="1">
      <alignment horizontal="right"/>
    </xf>
    <xf numFmtId="0" fontId="5" fillId="0" borderId="0" xfId="3" applyFont="1" applyBorder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3" applyFont="1" applyAlignment="1">
      <alignment horizontal="left"/>
    </xf>
    <xf numFmtId="0" fontId="5" fillId="0" borderId="0" xfId="3" applyFont="1" applyAlignment="1">
      <alignment horizontal="right"/>
    </xf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right" vertical="center"/>
    </xf>
    <xf numFmtId="0" fontId="5" fillId="0" borderId="0" xfId="3" applyFont="1" applyAlignment="1">
      <alignment horizontal="right" vertical="center"/>
    </xf>
    <xf numFmtId="0" fontId="5" fillId="0" borderId="0" xfId="3" applyFont="1" applyAlignment="1">
      <alignment horizontal="left" vertical="center"/>
    </xf>
    <xf numFmtId="0" fontId="4" fillId="0" borderId="0" xfId="3" applyFont="1" applyAlignment="1">
      <alignment horizontal="right" vertical="center" wrapText="1"/>
    </xf>
    <xf numFmtId="0" fontId="5" fillId="0" borderId="0" xfId="3" applyFont="1" applyAlignment="1">
      <alignment horizontal="right" vertical="center" wrapText="1"/>
    </xf>
    <xf numFmtId="0" fontId="4" fillId="0" borderId="0" xfId="3" applyFont="1" applyAlignment="1">
      <alignment horizontal="left" vertical="center" wrapText="1"/>
    </xf>
    <xf numFmtId="0" fontId="5" fillId="0" borderId="0" xfId="3" applyFont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3" fontId="5" fillId="2" borderId="0" xfId="0" applyNumberFormat="1" applyFont="1" applyFill="1" applyBorder="1" applyAlignment="1">
      <alignment horizontal="left" vertical="center" wrapTex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12"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249977111117893"/>
  </sheetPr>
  <dimension ref="A1:BJ59"/>
  <sheetViews>
    <sheetView showGridLines="0"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8.6640625" defaultRowHeight="13.8" x14ac:dyDescent="0.3"/>
  <cols>
    <col min="1" max="1" width="35" style="2" bestFit="1" customWidth="1"/>
    <col min="2" max="61" width="20.6640625" style="10" customWidth="1"/>
    <col min="62" max="16384" width="8.6640625" style="2"/>
  </cols>
  <sheetData>
    <row r="1" spans="1:62" x14ac:dyDescent="0.3">
      <c r="A1" s="1" t="s">
        <v>42</v>
      </c>
      <c r="C1" s="10" t="s">
        <v>43</v>
      </c>
      <c r="E1" s="3" t="s">
        <v>44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</row>
    <row r="2" spans="1:62" x14ac:dyDescent="0.3">
      <c r="C2" s="10" t="s">
        <v>45</v>
      </c>
      <c r="E2" s="4" t="s">
        <v>46</v>
      </c>
    </row>
    <row r="3" spans="1:62" x14ac:dyDescent="0.3">
      <c r="A3" s="5" t="s">
        <v>51</v>
      </c>
      <c r="C3" s="10" t="s">
        <v>47</v>
      </c>
      <c r="E3" s="6" t="s">
        <v>48</v>
      </c>
    </row>
    <row r="5" spans="1:62" x14ac:dyDescent="0.3">
      <c r="A5" s="7" t="s">
        <v>49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</row>
    <row r="6" spans="1:62" x14ac:dyDescent="0.3">
      <c r="A6" s="8" t="s">
        <v>50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</row>
    <row r="7" spans="1:62" x14ac:dyDescent="0.3">
      <c r="A7" s="9" t="s">
        <v>11</v>
      </c>
      <c r="B7" s="9" t="s">
        <v>106</v>
      </c>
      <c r="C7" s="9" t="s">
        <v>107</v>
      </c>
      <c r="D7" s="9" t="s">
        <v>108</v>
      </c>
      <c r="E7" s="9" t="s">
        <v>109</v>
      </c>
      <c r="F7" s="9" t="s">
        <v>110</v>
      </c>
      <c r="G7" s="9" t="s">
        <v>111</v>
      </c>
      <c r="H7" s="9" t="s">
        <v>112</v>
      </c>
      <c r="I7" s="9" t="s">
        <v>113</v>
      </c>
      <c r="J7" s="9" t="s">
        <v>114</v>
      </c>
      <c r="K7" s="9" t="s">
        <v>115</v>
      </c>
      <c r="L7" s="9" t="s">
        <v>116</v>
      </c>
      <c r="M7" s="9" t="s">
        <v>117</v>
      </c>
      <c r="N7" s="9" t="s">
        <v>118</v>
      </c>
      <c r="O7" s="9" t="s">
        <v>119</v>
      </c>
      <c r="P7" s="9" t="s">
        <v>120</v>
      </c>
      <c r="Q7" s="9" t="s">
        <v>121</v>
      </c>
      <c r="R7" s="9" t="s">
        <v>122</v>
      </c>
      <c r="S7" s="9" t="s">
        <v>123</v>
      </c>
      <c r="T7" s="9" t="s">
        <v>124</v>
      </c>
      <c r="U7" s="9" t="s">
        <v>125</v>
      </c>
      <c r="V7" s="9" t="s">
        <v>126</v>
      </c>
      <c r="W7" s="9" t="s">
        <v>127</v>
      </c>
      <c r="X7" s="9" t="s">
        <v>128</v>
      </c>
      <c r="Y7" s="9" t="s">
        <v>129</v>
      </c>
      <c r="Z7" s="9" t="s">
        <v>130</v>
      </c>
      <c r="AA7" s="9" t="s">
        <v>131</v>
      </c>
      <c r="AB7" s="9" t="s">
        <v>132</v>
      </c>
      <c r="AC7" s="9" t="s">
        <v>133</v>
      </c>
      <c r="AD7" s="9" t="s">
        <v>134</v>
      </c>
      <c r="AE7" s="9" t="s">
        <v>135</v>
      </c>
      <c r="AF7" s="9" t="s">
        <v>136</v>
      </c>
      <c r="AG7" s="9" t="s">
        <v>137</v>
      </c>
      <c r="AH7" s="9" t="s">
        <v>138</v>
      </c>
      <c r="AI7" s="9" t="s">
        <v>139</v>
      </c>
      <c r="AJ7" s="9" t="s">
        <v>140</v>
      </c>
      <c r="AK7" s="9" t="s">
        <v>141</v>
      </c>
      <c r="AL7" s="9" t="s">
        <v>142</v>
      </c>
      <c r="AM7" s="9" t="s">
        <v>143</v>
      </c>
      <c r="AN7" s="9" t="s">
        <v>144</v>
      </c>
      <c r="AO7" s="9" t="s">
        <v>145</v>
      </c>
      <c r="AP7" s="9" t="s">
        <v>146</v>
      </c>
      <c r="AQ7" s="9" t="s">
        <v>147</v>
      </c>
      <c r="AR7" s="9" t="s">
        <v>148</v>
      </c>
      <c r="AS7" s="9" t="s">
        <v>149</v>
      </c>
      <c r="AT7" s="9" t="s">
        <v>150</v>
      </c>
      <c r="AU7" s="9" t="s">
        <v>151</v>
      </c>
      <c r="AV7" s="9" t="s">
        <v>152</v>
      </c>
      <c r="AW7" s="9" t="s">
        <v>153</v>
      </c>
      <c r="AX7" s="9" t="s">
        <v>154</v>
      </c>
      <c r="AY7" s="9" t="s">
        <v>155</v>
      </c>
      <c r="AZ7" s="9" t="s">
        <v>156</v>
      </c>
      <c r="BA7" s="9" t="s">
        <v>157</v>
      </c>
      <c r="BB7" s="9" t="s">
        <v>158</v>
      </c>
      <c r="BC7" s="9" t="s">
        <v>159</v>
      </c>
      <c r="BD7" s="9" t="s">
        <v>160</v>
      </c>
      <c r="BE7" s="9" t="s">
        <v>161</v>
      </c>
      <c r="BF7" s="9" t="s">
        <v>133</v>
      </c>
      <c r="BG7" s="9" t="s">
        <v>162</v>
      </c>
      <c r="BH7" s="9" t="s">
        <v>163</v>
      </c>
      <c r="BI7" s="9" t="s">
        <v>164</v>
      </c>
    </row>
    <row r="8" spans="1:62" ht="41.4" x14ac:dyDescent="0.3">
      <c r="A8" s="2" t="s">
        <v>0</v>
      </c>
      <c r="B8" s="56" t="s">
        <v>451</v>
      </c>
      <c r="C8" s="56" t="s">
        <v>191</v>
      </c>
      <c r="D8" s="56" t="s">
        <v>425</v>
      </c>
      <c r="E8" s="56" t="s">
        <v>205</v>
      </c>
      <c r="F8" s="56" t="s">
        <v>623</v>
      </c>
      <c r="G8" s="56" t="s">
        <v>224</v>
      </c>
      <c r="H8" s="56" t="s">
        <v>202</v>
      </c>
      <c r="I8" s="56" t="s">
        <v>202</v>
      </c>
      <c r="J8" s="56" t="s">
        <v>430</v>
      </c>
      <c r="K8" s="56" t="s">
        <v>439</v>
      </c>
      <c r="L8" s="56" t="s">
        <v>726</v>
      </c>
      <c r="M8" s="56" t="s">
        <v>500</v>
      </c>
      <c r="N8" s="56" t="s">
        <v>187</v>
      </c>
      <c r="O8" s="56" t="s">
        <v>205</v>
      </c>
      <c r="P8" s="56" t="s">
        <v>202</v>
      </c>
      <c r="Q8" s="56" t="s">
        <v>202</v>
      </c>
      <c r="R8" s="56" t="s">
        <v>179</v>
      </c>
      <c r="S8" s="56" t="s">
        <v>599</v>
      </c>
      <c r="T8" s="56" t="s">
        <v>732</v>
      </c>
      <c r="U8" s="56" t="s">
        <v>224</v>
      </c>
      <c r="V8" s="56" t="s">
        <v>500</v>
      </c>
      <c r="W8" s="56" t="s">
        <v>481</v>
      </c>
      <c r="X8" s="56" t="s">
        <v>433</v>
      </c>
      <c r="Y8" s="56" t="s">
        <v>506</v>
      </c>
      <c r="Z8" s="56" t="s">
        <v>506</v>
      </c>
      <c r="AA8" s="56" t="s">
        <v>672</v>
      </c>
      <c r="AB8" s="56" t="s">
        <v>608</v>
      </c>
      <c r="AC8" s="56" t="s">
        <v>626</v>
      </c>
      <c r="AD8" s="56" t="s">
        <v>425</v>
      </c>
      <c r="AE8" s="56" t="s">
        <v>536</v>
      </c>
      <c r="AF8" s="56" t="s">
        <v>226</v>
      </c>
      <c r="AG8" s="56" t="s">
        <v>182</v>
      </c>
      <c r="AH8" s="56" t="s">
        <v>220</v>
      </c>
      <c r="AI8" s="56" t="s">
        <v>436</v>
      </c>
      <c r="AJ8" s="56" t="s">
        <v>506</v>
      </c>
      <c r="AK8" s="56" t="s">
        <v>226</v>
      </c>
      <c r="AL8" s="56" t="s">
        <v>594</v>
      </c>
      <c r="AM8" s="56" t="s">
        <v>536</v>
      </c>
      <c r="AN8" s="56" t="s">
        <v>594</v>
      </c>
      <c r="AO8" s="56" t="s">
        <v>690</v>
      </c>
      <c r="AP8" s="56" t="s">
        <v>224</v>
      </c>
      <c r="AQ8" s="56" t="s">
        <v>224</v>
      </c>
      <c r="AR8" s="56" t="s">
        <v>445</v>
      </c>
      <c r="AS8" s="56" t="s">
        <v>202</v>
      </c>
      <c r="AT8" s="56" t="s">
        <v>637</v>
      </c>
      <c r="AU8" s="56" t="s">
        <v>608</v>
      </c>
      <c r="AV8" s="56" t="s">
        <v>608</v>
      </c>
      <c r="AW8" s="56" t="s">
        <v>608</v>
      </c>
      <c r="AX8" s="56" t="s">
        <v>637</v>
      </c>
      <c r="AY8" s="56" t="s">
        <v>637</v>
      </c>
      <c r="AZ8" s="56" t="s">
        <v>205</v>
      </c>
      <c r="BA8" s="56" t="s">
        <v>533</v>
      </c>
      <c r="BB8" s="56" t="s">
        <v>430</v>
      </c>
      <c r="BC8" s="56" t="s">
        <v>672</v>
      </c>
      <c r="BD8" s="56" t="s">
        <v>220</v>
      </c>
      <c r="BE8" s="56" t="s">
        <v>220</v>
      </c>
      <c r="BF8" s="56" t="s">
        <v>626</v>
      </c>
      <c r="BG8" s="56" t="s">
        <v>626</v>
      </c>
      <c r="BH8" s="56" t="s">
        <v>362</v>
      </c>
      <c r="BI8" s="56" t="s">
        <v>430</v>
      </c>
      <c r="BJ8" s="2" t="s">
        <v>69</v>
      </c>
    </row>
    <row r="9" spans="1:62" x14ac:dyDescent="0.3">
      <c r="A9" s="2" t="s">
        <v>1</v>
      </c>
      <c r="B9" s="56" t="s">
        <v>752</v>
      </c>
      <c r="C9" s="56" t="s">
        <v>752</v>
      </c>
      <c r="D9" s="56" t="s">
        <v>752</v>
      </c>
      <c r="E9" s="56" t="s">
        <v>752</v>
      </c>
      <c r="F9" s="56" t="s">
        <v>752</v>
      </c>
      <c r="G9" s="56" t="s">
        <v>752</v>
      </c>
      <c r="H9" s="56" t="s">
        <v>752</v>
      </c>
      <c r="I9" s="56" t="s">
        <v>752</v>
      </c>
      <c r="J9" s="56" t="s">
        <v>752</v>
      </c>
      <c r="K9" s="56" t="s">
        <v>752</v>
      </c>
      <c r="L9" s="56" t="s">
        <v>752</v>
      </c>
      <c r="M9" s="56" t="s">
        <v>752</v>
      </c>
      <c r="N9" s="56" t="s">
        <v>752</v>
      </c>
      <c r="O9" s="56" t="s">
        <v>752</v>
      </c>
      <c r="P9" s="56" t="s">
        <v>752</v>
      </c>
      <c r="Q9" s="56" t="s">
        <v>752</v>
      </c>
      <c r="R9" s="56" t="s">
        <v>752</v>
      </c>
      <c r="S9" s="56" t="s">
        <v>752</v>
      </c>
      <c r="T9" s="56" t="s">
        <v>752</v>
      </c>
      <c r="U9" s="56" t="s">
        <v>752</v>
      </c>
      <c r="V9" s="56" t="s">
        <v>752</v>
      </c>
      <c r="W9" s="56" t="s">
        <v>752</v>
      </c>
      <c r="X9" s="56" t="s">
        <v>6</v>
      </c>
      <c r="Y9" s="56" t="s">
        <v>6</v>
      </c>
      <c r="Z9" s="56" t="s">
        <v>10</v>
      </c>
      <c r="AA9" s="56" t="s">
        <v>6</v>
      </c>
      <c r="AB9" s="56" t="s">
        <v>6</v>
      </c>
      <c r="AC9" s="56" t="s">
        <v>6</v>
      </c>
      <c r="AD9" s="56" t="s">
        <v>6</v>
      </c>
      <c r="AE9" s="56" t="s">
        <v>6</v>
      </c>
      <c r="AF9" s="56" t="s">
        <v>3</v>
      </c>
      <c r="AG9" s="56" t="s">
        <v>3</v>
      </c>
      <c r="AH9" s="56" t="s">
        <v>10</v>
      </c>
      <c r="AI9" s="56" t="s">
        <v>8</v>
      </c>
      <c r="AJ9" s="56" t="s">
        <v>8</v>
      </c>
      <c r="AK9" s="56" t="s">
        <v>8</v>
      </c>
      <c r="AL9" s="56" t="s">
        <v>8</v>
      </c>
      <c r="AM9" s="56" t="s">
        <v>8</v>
      </c>
      <c r="AN9" s="56" t="s">
        <v>3</v>
      </c>
      <c r="AO9" s="56" t="s">
        <v>3</v>
      </c>
      <c r="AP9" s="56" t="s">
        <v>3</v>
      </c>
      <c r="AQ9" s="56" t="s">
        <v>3</v>
      </c>
      <c r="AR9" s="56" t="s">
        <v>3</v>
      </c>
      <c r="AS9" s="56" t="s">
        <v>3</v>
      </c>
      <c r="AT9" s="56" t="s">
        <v>753</v>
      </c>
      <c r="AU9" s="56" t="s">
        <v>6</v>
      </c>
      <c r="AV9" s="56" t="s">
        <v>6</v>
      </c>
      <c r="AW9" s="56" t="s">
        <v>6</v>
      </c>
      <c r="AX9" s="56" t="s">
        <v>6</v>
      </c>
      <c r="AY9" s="56" t="s">
        <v>6</v>
      </c>
      <c r="AZ9" s="56" t="s">
        <v>6</v>
      </c>
      <c r="BA9" s="56" t="s">
        <v>6</v>
      </c>
      <c r="BB9" s="56" t="s">
        <v>8</v>
      </c>
      <c r="BC9" s="56" t="s">
        <v>10</v>
      </c>
      <c r="BD9" s="56" t="s">
        <v>6</v>
      </c>
      <c r="BE9" s="56" t="s">
        <v>8</v>
      </c>
      <c r="BF9" s="56" t="s">
        <v>6</v>
      </c>
      <c r="BG9" s="56" t="s">
        <v>3</v>
      </c>
      <c r="BH9" s="56" t="s">
        <v>10</v>
      </c>
      <c r="BI9" s="56" t="s">
        <v>754</v>
      </c>
      <c r="BJ9" s="2" t="s">
        <v>70</v>
      </c>
    </row>
    <row r="10" spans="1:62" x14ac:dyDescent="0.3">
      <c r="A10" s="2" t="s">
        <v>2</v>
      </c>
      <c r="B10" s="56" t="s">
        <v>5</v>
      </c>
      <c r="C10" s="56" t="s">
        <v>5</v>
      </c>
      <c r="D10" s="56" t="s">
        <v>5</v>
      </c>
      <c r="E10" s="56" t="s">
        <v>5</v>
      </c>
      <c r="F10" s="56" t="s">
        <v>5</v>
      </c>
      <c r="G10" s="56" t="s">
        <v>5</v>
      </c>
      <c r="H10" s="56" t="s">
        <v>5</v>
      </c>
      <c r="I10" s="56" t="s">
        <v>5</v>
      </c>
      <c r="J10" s="56" t="s">
        <v>5</v>
      </c>
      <c r="K10" s="56" t="s">
        <v>5</v>
      </c>
      <c r="L10" s="56" t="s">
        <v>5</v>
      </c>
      <c r="M10" s="56" t="s">
        <v>5</v>
      </c>
      <c r="N10" s="56" t="s">
        <v>5</v>
      </c>
      <c r="O10" s="56" t="s">
        <v>5</v>
      </c>
      <c r="P10" s="56" t="s">
        <v>5</v>
      </c>
      <c r="Q10" s="56" t="s">
        <v>5</v>
      </c>
      <c r="R10" s="56" t="s">
        <v>5</v>
      </c>
      <c r="S10" s="56" t="s">
        <v>5</v>
      </c>
      <c r="T10" s="56" t="s">
        <v>5</v>
      </c>
      <c r="U10" s="56" t="s">
        <v>5</v>
      </c>
      <c r="V10" s="56" t="s">
        <v>5</v>
      </c>
      <c r="W10" s="56" t="s">
        <v>5</v>
      </c>
      <c r="X10" s="56" t="s">
        <v>4</v>
      </c>
      <c r="Y10" s="56" t="s">
        <v>5</v>
      </c>
      <c r="Z10" s="56" t="s">
        <v>5</v>
      </c>
      <c r="AA10" s="56" t="s">
        <v>7</v>
      </c>
      <c r="AB10" s="56" t="s">
        <v>5</v>
      </c>
      <c r="AC10" s="56" t="s">
        <v>7</v>
      </c>
      <c r="AD10" s="56" t="s">
        <v>7</v>
      </c>
      <c r="AE10" s="56" t="s">
        <v>5</v>
      </c>
      <c r="AF10" s="56" t="s">
        <v>4</v>
      </c>
      <c r="AG10" s="56" t="s">
        <v>4</v>
      </c>
      <c r="AH10" s="56" t="s">
        <v>4</v>
      </c>
      <c r="AI10" s="56" t="s">
        <v>4</v>
      </c>
      <c r="AJ10" s="56" t="s">
        <v>5</v>
      </c>
      <c r="AK10" s="56" t="s">
        <v>4</v>
      </c>
      <c r="AL10" s="56" t="s">
        <v>4</v>
      </c>
      <c r="AM10" s="56" t="s">
        <v>4</v>
      </c>
      <c r="AN10" s="56" t="s">
        <v>4</v>
      </c>
      <c r="AO10" s="56" t="s">
        <v>4</v>
      </c>
      <c r="AP10" s="56" t="s">
        <v>4</v>
      </c>
      <c r="AQ10" s="56" t="s">
        <v>4</v>
      </c>
      <c r="AR10" s="56" t="s">
        <v>4</v>
      </c>
      <c r="AS10" s="56" t="s">
        <v>4</v>
      </c>
      <c r="AT10" s="56" t="s">
        <v>4</v>
      </c>
      <c r="AU10" s="56" t="s">
        <v>7</v>
      </c>
      <c r="AV10" s="56" t="s">
        <v>7</v>
      </c>
      <c r="AW10" s="56" t="s">
        <v>5</v>
      </c>
      <c r="AX10" s="56" t="s">
        <v>4</v>
      </c>
      <c r="AY10" s="56" t="s">
        <v>7</v>
      </c>
      <c r="AZ10" s="56" t="s">
        <v>5</v>
      </c>
      <c r="BA10" s="56" t="s">
        <v>5</v>
      </c>
      <c r="BB10" s="56" t="s">
        <v>4</v>
      </c>
      <c r="BC10" s="56" t="s">
        <v>4</v>
      </c>
      <c r="BD10" s="56" t="s">
        <v>7</v>
      </c>
      <c r="BE10" s="56" t="s">
        <v>4</v>
      </c>
      <c r="BF10" s="56" t="s">
        <v>7</v>
      </c>
      <c r="BG10" s="56" t="s">
        <v>4</v>
      </c>
      <c r="BH10" s="56" t="s">
        <v>4</v>
      </c>
      <c r="BI10" s="56" t="s">
        <v>9</v>
      </c>
      <c r="BJ10" s="2" t="s">
        <v>71</v>
      </c>
    </row>
    <row r="11" spans="1:62" x14ac:dyDescent="0.3">
      <c r="A11" s="2" t="s">
        <v>12</v>
      </c>
      <c r="B11" s="57">
        <v>161000</v>
      </c>
      <c r="C11" s="57">
        <v>221000</v>
      </c>
      <c r="D11" s="57">
        <v>1525000</v>
      </c>
      <c r="E11" s="57">
        <v>182000</v>
      </c>
      <c r="F11" s="57">
        <v>67000</v>
      </c>
      <c r="G11" s="57">
        <v>140000</v>
      </c>
      <c r="H11" s="57">
        <v>29600</v>
      </c>
      <c r="I11" s="57">
        <v>124800</v>
      </c>
      <c r="J11" s="57">
        <v>318000</v>
      </c>
      <c r="K11" s="57">
        <v>83700</v>
      </c>
      <c r="L11" s="57">
        <v>381000</v>
      </c>
      <c r="M11" s="57">
        <v>316000</v>
      </c>
      <c r="N11" s="57">
        <v>288000</v>
      </c>
      <c r="O11" s="57">
        <v>164000</v>
      </c>
      <c r="P11" s="57">
        <v>51000</v>
      </c>
      <c r="Q11" s="57">
        <v>26000</v>
      </c>
      <c r="R11" s="57">
        <v>22000</v>
      </c>
      <c r="S11" s="57">
        <v>30000</v>
      </c>
      <c r="T11" s="57">
        <v>24000</v>
      </c>
      <c r="U11" s="57">
        <v>163000</v>
      </c>
      <c r="V11" s="57">
        <v>440000</v>
      </c>
      <c r="W11" s="57">
        <v>300000</v>
      </c>
      <c r="X11" s="57">
        <v>148000</v>
      </c>
      <c r="Y11" s="57">
        <v>87800</v>
      </c>
      <c r="Z11" s="57">
        <v>93000</v>
      </c>
      <c r="AA11" s="57">
        <v>30000</v>
      </c>
      <c r="AB11" s="57">
        <v>214000</v>
      </c>
      <c r="AC11" s="57">
        <v>36000</v>
      </c>
      <c r="AD11" s="57">
        <v>20000</v>
      </c>
      <c r="AE11" s="57">
        <v>83100</v>
      </c>
      <c r="AF11" s="57">
        <v>311000</v>
      </c>
      <c r="AG11" s="57">
        <v>107000</v>
      </c>
      <c r="AH11" s="57">
        <v>42000</v>
      </c>
      <c r="AI11" s="57">
        <v>213000</v>
      </c>
      <c r="AJ11" s="57">
        <v>101000</v>
      </c>
      <c r="AK11" s="57">
        <v>168000</v>
      </c>
      <c r="AL11" s="57">
        <v>93000</v>
      </c>
      <c r="AM11" s="57">
        <v>91000</v>
      </c>
      <c r="AN11" s="57">
        <v>159000</v>
      </c>
      <c r="AO11" s="57">
        <v>111000</v>
      </c>
      <c r="AP11" s="57">
        <v>154950</v>
      </c>
      <c r="AQ11" s="57">
        <v>684000</v>
      </c>
      <c r="AR11" s="57">
        <v>59258</v>
      </c>
      <c r="AS11" s="57">
        <v>58600</v>
      </c>
      <c r="AT11" s="57">
        <v>86000</v>
      </c>
      <c r="AU11" s="57">
        <v>87000</v>
      </c>
      <c r="AV11" s="57">
        <v>61000</v>
      </c>
      <c r="AW11" s="57">
        <v>83000</v>
      </c>
      <c r="AX11" s="57">
        <v>94000</v>
      </c>
      <c r="AY11" s="57">
        <v>106000</v>
      </c>
      <c r="AZ11" s="57">
        <v>21700</v>
      </c>
      <c r="BA11" s="57">
        <v>18000</v>
      </c>
      <c r="BB11" s="57">
        <v>96000</v>
      </c>
      <c r="BC11" s="57">
        <v>85000</v>
      </c>
      <c r="BD11" s="57">
        <v>42000</v>
      </c>
      <c r="BE11" s="57">
        <v>134000</v>
      </c>
      <c r="BF11" s="57">
        <v>36000</v>
      </c>
      <c r="BG11" s="57">
        <v>92000</v>
      </c>
      <c r="BH11" s="57">
        <v>67000</v>
      </c>
      <c r="BI11" s="57">
        <v>273000</v>
      </c>
      <c r="BJ11" s="2" t="s">
        <v>72</v>
      </c>
    </row>
    <row r="12" spans="1:62" x14ac:dyDescent="0.3">
      <c r="A12" s="2" t="s">
        <v>13</v>
      </c>
      <c r="B12" s="57">
        <v>394328000000</v>
      </c>
      <c r="C12" s="57">
        <v>211915000000</v>
      </c>
      <c r="D12" s="57">
        <v>574785000000</v>
      </c>
      <c r="E12" s="57">
        <v>307394000000</v>
      </c>
      <c r="F12" s="57">
        <v>134902000000</v>
      </c>
      <c r="G12" s="57">
        <v>96773000000</v>
      </c>
      <c r="H12" s="57">
        <v>60922000000</v>
      </c>
      <c r="I12" s="57">
        <v>54228000000</v>
      </c>
      <c r="J12" s="57">
        <v>91471000000</v>
      </c>
      <c r="K12" s="57">
        <v>51217000000</v>
      </c>
      <c r="L12" s="57">
        <v>35976000000</v>
      </c>
      <c r="M12" s="57">
        <v>242290000000</v>
      </c>
      <c r="N12" s="57">
        <v>61860000000</v>
      </c>
      <c r="O12" s="57">
        <v>49900000000</v>
      </c>
      <c r="P12" s="57">
        <v>36400000000</v>
      </c>
      <c r="Q12" s="57">
        <v>22700000000</v>
      </c>
      <c r="R12" s="57">
        <v>8971000000</v>
      </c>
      <c r="S12" s="57">
        <v>29771000000</v>
      </c>
      <c r="T12" s="57">
        <v>21365000000</v>
      </c>
      <c r="U12" s="57">
        <v>171842000000</v>
      </c>
      <c r="V12" s="57">
        <v>106005000000</v>
      </c>
      <c r="W12" s="57">
        <v>86377000000</v>
      </c>
      <c r="X12" s="57">
        <v>59604000000</v>
      </c>
      <c r="Y12" s="57">
        <v>248891000000</v>
      </c>
      <c r="Z12" s="57">
        <v>323183000000</v>
      </c>
      <c r="AA12" s="57">
        <v>17096000000</v>
      </c>
      <c r="AB12" s="57">
        <v>66100000000</v>
      </c>
      <c r="AC12" s="57">
        <v>9200000000</v>
      </c>
      <c r="AD12" s="57">
        <v>2833000000</v>
      </c>
      <c r="AE12" s="57">
        <v>45811000000</v>
      </c>
      <c r="AF12" s="57">
        <v>77769000000</v>
      </c>
      <c r="AG12" s="57">
        <v>31207000000</v>
      </c>
      <c r="AH12" s="57">
        <v>27559000000</v>
      </c>
      <c r="AI12" s="57">
        <v>86153000000</v>
      </c>
      <c r="AJ12" s="57">
        <v>237120000000</v>
      </c>
      <c r="AK12" s="57">
        <v>36000000000</v>
      </c>
      <c r="AL12" s="57">
        <v>102000000000</v>
      </c>
      <c r="AM12" s="57">
        <v>43070000000</v>
      </c>
      <c r="AN12" s="57">
        <v>161700000000</v>
      </c>
      <c r="AO12" s="57">
        <v>68900000000</v>
      </c>
      <c r="AP12" s="57">
        <v>155498000000</v>
      </c>
      <c r="AQ12" s="57">
        <v>322284000000</v>
      </c>
      <c r="AR12" s="57">
        <v>21427000000</v>
      </c>
      <c r="AS12" s="57">
        <v>16300000000</v>
      </c>
      <c r="AT12" s="57">
        <v>24900000000</v>
      </c>
      <c r="AU12" s="57">
        <v>25400000000</v>
      </c>
      <c r="AV12" s="57">
        <v>17000000000</v>
      </c>
      <c r="AW12" s="57">
        <v>19300000000</v>
      </c>
      <c r="AX12" s="57">
        <v>45710000000</v>
      </c>
      <c r="AY12" s="57">
        <v>20700000000</v>
      </c>
      <c r="AZ12" s="57">
        <v>7170000000</v>
      </c>
      <c r="BA12" s="57">
        <v>5550000000</v>
      </c>
      <c r="BB12" s="57">
        <v>27600000000</v>
      </c>
      <c r="BC12" s="57">
        <v>36400000000</v>
      </c>
      <c r="BD12" s="57">
        <v>16500000000</v>
      </c>
      <c r="BE12" s="57">
        <v>65400000000</v>
      </c>
      <c r="BF12" s="57">
        <v>9200000000</v>
      </c>
      <c r="BG12" s="57">
        <v>31000000000</v>
      </c>
      <c r="BH12" s="57">
        <v>18200000000</v>
      </c>
      <c r="BI12" s="57">
        <v>93000000000</v>
      </c>
    </row>
    <row r="13" spans="1:62" x14ac:dyDescent="0.3">
      <c r="A13" s="2" t="s">
        <v>14</v>
      </c>
      <c r="B13" s="57">
        <v>365817000000</v>
      </c>
      <c r="C13" s="57">
        <v>198270000000</v>
      </c>
      <c r="D13" s="57">
        <v>513983000000</v>
      </c>
      <c r="E13" s="57">
        <v>282836000000</v>
      </c>
      <c r="F13" s="57">
        <v>116609000000</v>
      </c>
      <c r="G13" s="57">
        <v>81462000000</v>
      </c>
      <c r="H13" s="57">
        <v>26974000000</v>
      </c>
      <c r="I13" s="57">
        <v>63054000000</v>
      </c>
      <c r="J13" s="57">
        <v>86392000000</v>
      </c>
      <c r="K13" s="57">
        <v>46710000000</v>
      </c>
      <c r="L13" s="57">
        <v>32250000000</v>
      </c>
      <c r="M13" s="57">
        <v>226954000000</v>
      </c>
      <c r="N13" s="57">
        <v>60530000000</v>
      </c>
      <c r="O13" s="57">
        <v>42400000000</v>
      </c>
      <c r="P13" s="57">
        <v>44200000000</v>
      </c>
      <c r="Q13" s="57">
        <v>23600000000</v>
      </c>
      <c r="R13" s="57">
        <v>7245000000</v>
      </c>
      <c r="S13" s="57">
        <v>27518000000</v>
      </c>
      <c r="T13" s="57">
        <v>17090000000</v>
      </c>
      <c r="U13" s="57">
        <v>156735000000</v>
      </c>
      <c r="V13" s="57">
        <v>109120000000</v>
      </c>
      <c r="W13" s="57">
        <v>97059000000</v>
      </c>
      <c r="X13" s="57">
        <v>60073000000</v>
      </c>
      <c r="Y13" s="57">
        <v>239893000000</v>
      </c>
      <c r="Z13" s="57">
        <v>386201000000</v>
      </c>
      <c r="AA13" s="57">
        <v>15452000000</v>
      </c>
      <c r="AB13" s="57">
        <v>61600000000</v>
      </c>
      <c r="AC13" s="57">
        <v>8553000000</v>
      </c>
      <c r="AD13" s="57">
        <v>2500000000</v>
      </c>
      <c r="AE13" s="57">
        <v>44351000000</v>
      </c>
      <c r="AF13" s="57">
        <v>72000000000</v>
      </c>
      <c r="AG13" s="57">
        <v>30871000000</v>
      </c>
      <c r="AH13" s="57">
        <v>21173000000</v>
      </c>
      <c r="AI13" s="57">
        <v>79184000000</v>
      </c>
      <c r="AJ13" s="57">
        <v>263310000000</v>
      </c>
      <c r="AK13" s="57">
        <v>34200000000</v>
      </c>
      <c r="AL13" s="57">
        <v>99300000000</v>
      </c>
      <c r="AM13" s="57">
        <v>42000000000</v>
      </c>
      <c r="AN13" s="57">
        <v>152700000000</v>
      </c>
      <c r="AO13" s="57">
        <v>87300000000</v>
      </c>
      <c r="AP13" s="57">
        <v>142610000000</v>
      </c>
      <c r="AQ13" s="57">
        <v>279232000000</v>
      </c>
      <c r="AR13" s="57">
        <v>22511000000</v>
      </c>
      <c r="AS13" s="57">
        <v>14200000000</v>
      </c>
      <c r="AT13" s="57">
        <v>26000000000</v>
      </c>
      <c r="AU13" s="57">
        <v>24900000000</v>
      </c>
      <c r="AV13" s="57">
        <v>18800000000</v>
      </c>
      <c r="AW13" s="57">
        <v>18800000000</v>
      </c>
      <c r="AX13" s="57">
        <v>45580000000</v>
      </c>
      <c r="AY13" s="57">
        <v>20100000000</v>
      </c>
      <c r="AZ13" s="57">
        <v>6800000000</v>
      </c>
      <c r="BA13" s="57">
        <v>5200000000</v>
      </c>
      <c r="BB13" s="57">
        <v>27700000000</v>
      </c>
      <c r="BC13" s="57">
        <v>34300000000</v>
      </c>
      <c r="BD13" s="57">
        <v>12700000000</v>
      </c>
      <c r="BE13" s="57">
        <v>58800000000</v>
      </c>
      <c r="BF13" s="57">
        <v>8553000000</v>
      </c>
      <c r="BG13" s="57">
        <v>29000000000</v>
      </c>
      <c r="BH13" s="57">
        <v>17700000000</v>
      </c>
      <c r="BI13" s="57">
        <v>91500000000</v>
      </c>
    </row>
    <row r="14" spans="1:62" x14ac:dyDescent="0.3">
      <c r="A14" s="2" t="s">
        <v>15</v>
      </c>
      <c r="B14" s="57">
        <v>274515000000</v>
      </c>
      <c r="C14" s="57">
        <v>168088000000</v>
      </c>
      <c r="D14" s="57">
        <v>469822000000</v>
      </c>
      <c r="E14" s="57">
        <v>257637000000</v>
      </c>
      <c r="F14" s="57">
        <v>117929000000</v>
      </c>
      <c r="G14" s="57">
        <v>53823000000</v>
      </c>
      <c r="H14" s="57">
        <v>11716000000</v>
      </c>
      <c r="I14" s="57">
        <v>79024000000</v>
      </c>
      <c r="J14" s="57">
        <v>79474000000</v>
      </c>
      <c r="K14" s="57">
        <v>44538000000</v>
      </c>
      <c r="L14" s="57">
        <v>29061000000</v>
      </c>
      <c r="M14" s="57">
        <v>195929000000</v>
      </c>
      <c r="N14" s="57">
        <v>57350000000</v>
      </c>
      <c r="O14" s="57">
        <v>40500000000</v>
      </c>
      <c r="P14" s="57">
        <v>33600000000</v>
      </c>
      <c r="Q14" s="57">
        <v>16400000000</v>
      </c>
      <c r="R14" s="57">
        <v>5896000000</v>
      </c>
      <c r="S14" s="57">
        <v>25371000000</v>
      </c>
      <c r="T14" s="57">
        <v>14141000000</v>
      </c>
      <c r="U14" s="57">
        <v>127004000000</v>
      </c>
      <c r="V14" s="57">
        <v>93561000000</v>
      </c>
      <c r="W14" s="57">
        <v>96250000000</v>
      </c>
      <c r="X14" s="57">
        <v>52444000000</v>
      </c>
      <c r="Y14" s="57">
        <v>181587000000</v>
      </c>
      <c r="Z14" s="57">
        <v>261504000000</v>
      </c>
      <c r="AA14" s="57">
        <v>13870000000</v>
      </c>
      <c r="AB14" s="57">
        <v>54300000000</v>
      </c>
      <c r="AC14" s="57">
        <v>7244000000</v>
      </c>
      <c r="AD14" s="57">
        <v>2300000000</v>
      </c>
      <c r="AE14" s="57">
        <v>40700000000</v>
      </c>
      <c r="AF14" s="57">
        <v>62265000000</v>
      </c>
      <c r="AG14" s="57">
        <v>27839000000</v>
      </c>
      <c r="AH14" s="57">
        <v>13979000000</v>
      </c>
      <c r="AI14" s="57">
        <v>64215000000</v>
      </c>
      <c r="AJ14" s="57">
        <v>205855000000</v>
      </c>
      <c r="AK14" s="57">
        <v>31100000000</v>
      </c>
      <c r="AL14" s="57">
        <v>94000000000</v>
      </c>
      <c r="AM14" s="57">
        <v>41200000000</v>
      </c>
      <c r="AN14" s="57">
        <v>148500000000</v>
      </c>
      <c r="AO14" s="57">
        <v>78600000000</v>
      </c>
      <c r="AP14" s="57">
        <v>111239000000</v>
      </c>
      <c r="AQ14" s="57">
        <v>250200000000</v>
      </c>
      <c r="AR14" s="57">
        <v>19844000000</v>
      </c>
      <c r="AS14" s="57">
        <v>11100000000</v>
      </c>
      <c r="AT14" s="57">
        <v>23500000000</v>
      </c>
      <c r="AU14" s="57">
        <v>21900000000</v>
      </c>
      <c r="AV14" s="57">
        <v>15800000000</v>
      </c>
      <c r="AW14" s="57">
        <v>15000000000</v>
      </c>
      <c r="AX14" s="57">
        <v>45580000000</v>
      </c>
      <c r="AY14" s="57">
        <v>21000000000</v>
      </c>
      <c r="AZ14" s="57">
        <v>6400000000</v>
      </c>
      <c r="BA14" s="57">
        <v>4600000000</v>
      </c>
      <c r="BB14" s="57">
        <v>24300000000</v>
      </c>
      <c r="BC14" s="57">
        <v>28000000000</v>
      </c>
      <c r="BD14" s="57">
        <v>11200000000</v>
      </c>
      <c r="BE14" s="57">
        <v>52100000000</v>
      </c>
      <c r="BF14" s="57">
        <v>7244000000</v>
      </c>
      <c r="BG14" s="57">
        <v>27000000000</v>
      </c>
      <c r="BH14" s="57">
        <v>17400000000</v>
      </c>
      <c r="BI14" s="57">
        <v>90500000000</v>
      </c>
    </row>
    <row r="15" spans="1:62" x14ac:dyDescent="0.3">
      <c r="A15" s="2" t="s">
        <v>16</v>
      </c>
      <c r="B15" s="57">
        <v>114301000000</v>
      </c>
      <c r="C15" s="57">
        <v>88523000000</v>
      </c>
      <c r="D15" s="57">
        <v>36852000000</v>
      </c>
      <c r="E15" s="57">
        <v>84293000000</v>
      </c>
      <c r="F15" s="57">
        <v>46753000000</v>
      </c>
      <c r="G15" s="57">
        <v>8891000000</v>
      </c>
      <c r="H15" s="57">
        <v>32972000000</v>
      </c>
      <c r="I15" s="57">
        <v>1688000000</v>
      </c>
      <c r="J15" s="57">
        <v>11505000000</v>
      </c>
      <c r="K15" s="57">
        <v>6690000000</v>
      </c>
      <c r="L15" s="57">
        <v>5742000000</v>
      </c>
      <c r="M15" s="57">
        <v>8100000000</v>
      </c>
      <c r="N15" s="57">
        <v>9300000000</v>
      </c>
      <c r="O15" s="57">
        <v>15000000000</v>
      </c>
      <c r="P15" s="57">
        <v>12000000000</v>
      </c>
      <c r="Q15" s="57">
        <v>1400000000</v>
      </c>
      <c r="R15" s="57">
        <v>1700000000</v>
      </c>
      <c r="S15" s="57">
        <v>5000000000</v>
      </c>
      <c r="T15" s="57">
        <v>7100000000</v>
      </c>
      <c r="U15" s="57">
        <v>8100000000</v>
      </c>
      <c r="V15" s="57">
        <v>4100000000</v>
      </c>
      <c r="W15" s="57">
        <v>13400000000</v>
      </c>
      <c r="X15" s="57">
        <v>10710000000</v>
      </c>
      <c r="Y15" s="57">
        <v>27042000000</v>
      </c>
      <c r="Z15" s="57">
        <v>45348000000</v>
      </c>
      <c r="AA15" s="57">
        <v>4372000000</v>
      </c>
      <c r="AB15" s="57">
        <v>24300000000</v>
      </c>
      <c r="AC15" s="57">
        <v>3200000000</v>
      </c>
      <c r="AD15" s="57">
        <v>-500000000</v>
      </c>
      <c r="AE15" s="57">
        <v>9600000000</v>
      </c>
      <c r="AF15" s="57">
        <v>11400000000</v>
      </c>
      <c r="AG15" s="57">
        <v>8633000000</v>
      </c>
      <c r="AH15" s="57">
        <v>8319000000</v>
      </c>
      <c r="AI15" s="57">
        <v>22802000000</v>
      </c>
      <c r="AJ15" s="57">
        <v>36640000000</v>
      </c>
      <c r="AK15" s="57">
        <v>6200000000</v>
      </c>
      <c r="AL15" s="57">
        <v>8900000000</v>
      </c>
      <c r="AM15" s="57">
        <v>10400000000</v>
      </c>
      <c r="AN15" s="57">
        <v>14700000000</v>
      </c>
      <c r="AO15" s="57">
        <v>2200000000</v>
      </c>
      <c r="AP15" s="57">
        <v>18482000000</v>
      </c>
      <c r="AQ15" s="57">
        <v>22600000000</v>
      </c>
      <c r="AR15" s="57">
        <v>-216000000</v>
      </c>
      <c r="AS15" s="57">
        <v>4000000000</v>
      </c>
      <c r="AT15" s="57">
        <v>2300000000</v>
      </c>
      <c r="AU15" s="57">
        <v>6300000000</v>
      </c>
      <c r="AV15" s="57">
        <v>7500000000</v>
      </c>
      <c r="AW15" s="57">
        <v>4000000000</v>
      </c>
      <c r="AX15" s="57">
        <v>4800000000</v>
      </c>
      <c r="AY15" s="57">
        <v>7500000000</v>
      </c>
      <c r="AZ15" s="57">
        <v>2300000000</v>
      </c>
      <c r="BA15" s="57">
        <v>1000000000</v>
      </c>
      <c r="BB15" s="57">
        <v>3200000000</v>
      </c>
      <c r="BC15" s="57">
        <v>4500000000</v>
      </c>
      <c r="BD15" s="57">
        <v>1600000000</v>
      </c>
      <c r="BE15" s="57">
        <v>7400000000</v>
      </c>
      <c r="BF15" s="57">
        <v>3200000000</v>
      </c>
      <c r="BG15" s="57">
        <v>-400000000</v>
      </c>
      <c r="BH15" s="57">
        <v>1200000000</v>
      </c>
      <c r="BI15" s="57">
        <v>17500000000</v>
      </c>
    </row>
    <row r="16" spans="1:62" x14ac:dyDescent="0.3">
      <c r="A16" s="2" t="s">
        <v>17</v>
      </c>
      <c r="B16" s="57">
        <v>108949000000</v>
      </c>
      <c r="C16" s="57">
        <v>83383000000</v>
      </c>
      <c r="D16" s="57">
        <v>12248000000</v>
      </c>
      <c r="E16" s="57">
        <v>74842000000</v>
      </c>
      <c r="F16" s="57">
        <v>28944000000</v>
      </c>
      <c r="G16" s="57">
        <v>13656000000</v>
      </c>
      <c r="H16" s="57">
        <v>13616000000</v>
      </c>
      <c r="I16" s="57">
        <v>3015000000</v>
      </c>
      <c r="J16" s="57">
        <v>10123000000</v>
      </c>
      <c r="K16" s="57">
        <v>6425000000</v>
      </c>
      <c r="L16" s="57">
        <v>4872000000</v>
      </c>
      <c r="M16" s="57">
        <v>7400000000</v>
      </c>
      <c r="N16" s="57">
        <v>8100000000</v>
      </c>
      <c r="O16" s="57">
        <v>13000000000</v>
      </c>
      <c r="P16" s="57">
        <v>15300000000</v>
      </c>
      <c r="Q16" s="57">
        <v>3600000000</v>
      </c>
      <c r="R16" s="57">
        <v>1200000000</v>
      </c>
      <c r="S16" s="57">
        <v>4200000000</v>
      </c>
      <c r="T16" s="57">
        <v>5200000000</v>
      </c>
      <c r="U16" s="57">
        <v>10000000000</v>
      </c>
      <c r="V16" s="57">
        <v>4900000000</v>
      </c>
      <c r="W16" s="57">
        <v>15000000000</v>
      </c>
      <c r="X16" s="57">
        <v>9725000000</v>
      </c>
      <c r="Y16" s="57">
        <v>25163000000</v>
      </c>
      <c r="Z16" s="57">
        <v>60404000000</v>
      </c>
      <c r="AA16" s="57">
        <v>4005000000</v>
      </c>
      <c r="AB16" s="57">
        <v>19300000000</v>
      </c>
      <c r="AC16" s="57">
        <v>2900000000</v>
      </c>
      <c r="AD16" s="57">
        <v>-400000000</v>
      </c>
      <c r="AE16" s="57">
        <v>9400000000</v>
      </c>
      <c r="AF16" s="57">
        <v>9800000000</v>
      </c>
      <c r="AG16" s="57">
        <v>7914000000</v>
      </c>
      <c r="AH16" s="57">
        <v>6463000000</v>
      </c>
      <c r="AI16" s="57">
        <v>19550000000</v>
      </c>
      <c r="AJ16" s="57">
        <v>55390000000</v>
      </c>
      <c r="AK16" s="57">
        <v>5500000000</v>
      </c>
      <c r="AL16" s="57">
        <v>7600000000</v>
      </c>
      <c r="AM16" s="57">
        <v>9800000000</v>
      </c>
      <c r="AN16" s="57">
        <v>13400000000</v>
      </c>
      <c r="AO16" s="57">
        <v>6900000000</v>
      </c>
      <c r="AP16" s="57">
        <v>13871000000</v>
      </c>
      <c r="AQ16" s="57">
        <v>22500000000</v>
      </c>
      <c r="AR16" s="57">
        <v>669000000</v>
      </c>
      <c r="AS16" s="57">
        <v>3400000000</v>
      </c>
      <c r="AT16" s="57">
        <v>2600000000</v>
      </c>
      <c r="AU16" s="57">
        <v>5900000000</v>
      </c>
      <c r="AV16" s="57">
        <v>8400000000</v>
      </c>
      <c r="AW16" s="57">
        <v>3500000000</v>
      </c>
      <c r="AX16" s="57">
        <v>5000000000</v>
      </c>
      <c r="AY16" s="57">
        <v>7000000000</v>
      </c>
      <c r="AZ16" s="57">
        <v>2100000000</v>
      </c>
      <c r="BA16" s="57">
        <v>900000000</v>
      </c>
      <c r="BB16" s="57">
        <v>3100000000</v>
      </c>
      <c r="BC16" s="57">
        <v>4000000000</v>
      </c>
      <c r="BD16" s="57">
        <v>1200000000</v>
      </c>
      <c r="BE16" s="57">
        <v>5600000000</v>
      </c>
      <c r="BF16" s="57">
        <v>2900000000</v>
      </c>
      <c r="BG16" s="57">
        <v>-900000000</v>
      </c>
      <c r="BH16" s="57">
        <v>900000000</v>
      </c>
      <c r="BI16" s="57">
        <v>17000000000</v>
      </c>
    </row>
    <row r="17" spans="1:62" x14ac:dyDescent="0.3">
      <c r="A17" s="2" t="s">
        <v>18</v>
      </c>
      <c r="B17" s="57">
        <v>66288000000</v>
      </c>
      <c r="C17" s="57">
        <v>69916000000</v>
      </c>
      <c r="D17" s="57">
        <v>24879000000</v>
      </c>
      <c r="E17" s="57">
        <v>54396000000</v>
      </c>
      <c r="F17" s="57">
        <v>32671000000</v>
      </c>
      <c r="G17" s="57">
        <v>6523000000</v>
      </c>
      <c r="H17" s="57">
        <v>4224000000</v>
      </c>
      <c r="I17" s="57">
        <v>21110000000</v>
      </c>
      <c r="J17" s="57">
        <v>9776000000</v>
      </c>
      <c r="K17" s="57">
        <v>5727000000</v>
      </c>
      <c r="L17" s="57">
        <v>4847000000</v>
      </c>
      <c r="M17" s="57">
        <v>6100000000</v>
      </c>
      <c r="N17" s="57">
        <v>6500000000</v>
      </c>
      <c r="O17" s="57">
        <v>12400000000</v>
      </c>
      <c r="P17" s="57">
        <v>10400000000</v>
      </c>
      <c r="Q17" s="57">
        <v>2500000000</v>
      </c>
      <c r="R17" s="57">
        <v>700000000</v>
      </c>
      <c r="S17" s="57">
        <v>3800000000</v>
      </c>
      <c r="T17" s="57">
        <v>4100000000</v>
      </c>
      <c r="U17" s="57">
        <v>6600000000</v>
      </c>
      <c r="V17" s="57">
        <v>3900000000</v>
      </c>
      <c r="W17" s="57">
        <v>14100000000</v>
      </c>
      <c r="X17" s="57">
        <v>8708000000</v>
      </c>
      <c r="Y17" s="57">
        <v>13001000000</v>
      </c>
      <c r="Z17" s="57">
        <v>20399000000</v>
      </c>
      <c r="AA17" s="57">
        <v>3727000000</v>
      </c>
      <c r="AB17" s="57">
        <v>13200000000</v>
      </c>
      <c r="AC17" s="57">
        <v>2500000000</v>
      </c>
      <c r="AD17" s="57">
        <v>-300000000</v>
      </c>
      <c r="AE17" s="57">
        <v>8300000000</v>
      </c>
      <c r="AF17" s="57">
        <v>6749000000</v>
      </c>
      <c r="AG17" s="57">
        <v>6709000000</v>
      </c>
      <c r="AH17" s="57">
        <v>4723000000</v>
      </c>
      <c r="AI17" s="57">
        <v>14040000000</v>
      </c>
      <c r="AJ17" s="57">
        <v>30670000000</v>
      </c>
      <c r="AK17" s="57">
        <v>4800000000</v>
      </c>
      <c r="AL17" s="57">
        <v>6700000000</v>
      </c>
      <c r="AM17" s="57">
        <v>9200000000</v>
      </c>
      <c r="AN17" s="57">
        <v>12300000000</v>
      </c>
      <c r="AO17" s="57">
        <v>6800000000</v>
      </c>
      <c r="AP17" s="57">
        <v>12893000000</v>
      </c>
      <c r="AQ17" s="57">
        <v>19300000000</v>
      </c>
      <c r="AR17" s="57">
        <v>1990000000</v>
      </c>
      <c r="AS17" s="57">
        <v>2100000000</v>
      </c>
      <c r="AT17" s="57">
        <v>2100000000</v>
      </c>
      <c r="AU17" s="57">
        <v>5000000000</v>
      </c>
      <c r="AV17" s="57">
        <v>6900000000</v>
      </c>
      <c r="AW17" s="57">
        <v>2800000000</v>
      </c>
      <c r="AX17" s="57">
        <v>5200000000</v>
      </c>
      <c r="AY17" s="57">
        <v>7600000000</v>
      </c>
      <c r="AZ17" s="57">
        <v>1900000000</v>
      </c>
      <c r="BA17" s="57">
        <v>800000000</v>
      </c>
      <c r="BB17" s="57">
        <v>2700000000</v>
      </c>
      <c r="BC17" s="57">
        <v>3300000000</v>
      </c>
      <c r="BD17" s="57">
        <v>-1200000000</v>
      </c>
      <c r="BE17" s="57">
        <v>4800000000</v>
      </c>
      <c r="BF17" s="57">
        <v>2500000000</v>
      </c>
      <c r="BG17" s="57">
        <v>-1500000000</v>
      </c>
      <c r="BH17" s="57">
        <v>600000000</v>
      </c>
      <c r="BI17" s="57">
        <v>16500000000</v>
      </c>
    </row>
    <row r="18" spans="1:62" x14ac:dyDescent="0.3">
      <c r="A18" s="2" t="s">
        <v>19</v>
      </c>
      <c r="B18" s="57">
        <v>420000000000</v>
      </c>
      <c r="C18" s="57">
        <v>230000000000</v>
      </c>
      <c r="D18" s="57">
        <v>620000000000</v>
      </c>
      <c r="E18" s="57">
        <v>340000000000</v>
      </c>
      <c r="F18" s="57">
        <v>155000000000</v>
      </c>
      <c r="G18" s="57">
        <v>110000000000</v>
      </c>
      <c r="H18" s="57">
        <v>72000000000</v>
      </c>
      <c r="I18" s="57">
        <v>58000000000</v>
      </c>
      <c r="J18" s="57">
        <v>96000000000</v>
      </c>
      <c r="K18" s="57">
        <v>54000000000</v>
      </c>
      <c r="L18" s="57">
        <v>38000000000</v>
      </c>
      <c r="M18" s="57">
        <v>260000000000</v>
      </c>
      <c r="N18" s="57">
        <v>64000000000</v>
      </c>
      <c r="O18" s="57">
        <v>53000000000</v>
      </c>
      <c r="P18" s="57">
        <v>38000000000</v>
      </c>
      <c r="Q18" s="57">
        <v>26000000000</v>
      </c>
      <c r="R18" s="57">
        <v>11000000000</v>
      </c>
      <c r="S18" s="57">
        <v>32000000000</v>
      </c>
      <c r="T18" s="57">
        <v>24000000000</v>
      </c>
      <c r="U18" s="57">
        <v>180000000000</v>
      </c>
      <c r="V18" s="57">
        <v>112000000000</v>
      </c>
      <c r="W18" s="57">
        <v>90000000000</v>
      </c>
      <c r="X18" s="57">
        <v>63000000000</v>
      </c>
      <c r="Y18" s="57">
        <v>260000000000</v>
      </c>
      <c r="Z18" s="57">
        <v>345000000000</v>
      </c>
      <c r="AA18" s="57">
        <v>18500000000</v>
      </c>
      <c r="AB18" s="57">
        <v>70000000000</v>
      </c>
      <c r="AC18" s="57">
        <v>9800000000</v>
      </c>
      <c r="AD18" s="57">
        <v>3100000000</v>
      </c>
      <c r="AE18" s="57">
        <v>48000000000</v>
      </c>
      <c r="AF18" s="57">
        <v>82000000000</v>
      </c>
      <c r="AG18" s="57">
        <v>34000000000</v>
      </c>
      <c r="AH18" s="57">
        <v>30000000000</v>
      </c>
      <c r="AI18" s="57">
        <v>92000000000</v>
      </c>
      <c r="AJ18" s="57">
        <v>260000000000</v>
      </c>
      <c r="AK18" s="57">
        <v>38500000000</v>
      </c>
      <c r="AL18" s="57">
        <v>108000000000</v>
      </c>
      <c r="AM18" s="57">
        <v>46000000000</v>
      </c>
      <c r="AN18" s="57">
        <v>170000000000</v>
      </c>
      <c r="AO18" s="57">
        <v>72000000000</v>
      </c>
      <c r="AP18" s="57">
        <v>165000000000</v>
      </c>
      <c r="AQ18" s="57">
        <v>340000000000</v>
      </c>
      <c r="AR18" s="57">
        <v>23500000000</v>
      </c>
      <c r="AS18" s="57">
        <v>18000000000</v>
      </c>
      <c r="AT18" s="57">
        <v>26000000000</v>
      </c>
      <c r="AU18" s="57">
        <v>27000000000</v>
      </c>
      <c r="AV18" s="57">
        <v>18500000000</v>
      </c>
      <c r="AW18" s="57">
        <v>20500000000</v>
      </c>
      <c r="AX18" s="57">
        <v>47000000000</v>
      </c>
      <c r="AY18" s="57">
        <v>21500000000</v>
      </c>
      <c r="AZ18" s="57">
        <v>7600000000</v>
      </c>
      <c r="BA18" s="57">
        <v>5800000000</v>
      </c>
      <c r="BB18" s="57">
        <v>29000000000</v>
      </c>
      <c r="BC18" s="57">
        <v>38500000000</v>
      </c>
      <c r="BD18" s="57">
        <v>18500000000</v>
      </c>
      <c r="BE18" s="57">
        <v>70000000000</v>
      </c>
      <c r="BF18" s="57">
        <v>9800000000</v>
      </c>
      <c r="BG18" s="57">
        <v>33000000000</v>
      </c>
      <c r="BH18" s="57">
        <v>19500000000</v>
      </c>
      <c r="BI18" s="57">
        <v>96000000000</v>
      </c>
    </row>
    <row r="19" spans="1:62" x14ac:dyDescent="0.3">
      <c r="A19" s="2" t="s">
        <v>20</v>
      </c>
      <c r="B19" s="57">
        <v>450000000000</v>
      </c>
      <c r="C19" s="57">
        <v>260000000000</v>
      </c>
      <c r="D19" s="57">
        <v>680000000000</v>
      </c>
      <c r="E19" s="57">
        <v>380000000000</v>
      </c>
      <c r="F19" s="57">
        <v>180000000000</v>
      </c>
      <c r="G19" s="57">
        <v>125000000000</v>
      </c>
      <c r="H19" s="57">
        <v>85000000000</v>
      </c>
      <c r="I19" s="57">
        <v>62000000000</v>
      </c>
      <c r="J19" s="57">
        <v>102000000000</v>
      </c>
      <c r="K19" s="57">
        <v>58000000000</v>
      </c>
      <c r="L19" s="57">
        <v>41000000000</v>
      </c>
      <c r="M19" s="57">
        <v>280000000000</v>
      </c>
      <c r="N19" s="57">
        <v>67000000000</v>
      </c>
      <c r="O19" s="57">
        <v>58000000000</v>
      </c>
      <c r="P19" s="57">
        <v>41000000000</v>
      </c>
      <c r="Q19" s="57">
        <v>30000000000</v>
      </c>
      <c r="R19" s="57">
        <v>13500000000</v>
      </c>
      <c r="S19" s="57">
        <v>35000000000</v>
      </c>
      <c r="T19" s="57">
        <v>27000000000</v>
      </c>
      <c r="U19" s="57">
        <v>195000000000</v>
      </c>
      <c r="V19" s="57">
        <v>118000000000</v>
      </c>
      <c r="W19" s="57">
        <v>95000000000</v>
      </c>
      <c r="X19" s="57">
        <v>67000000000</v>
      </c>
      <c r="Y19" s="57">
        <v>280000000000</v>
      </c>
      <c r="Z19" s="57">
        <v>365000000000</v>
      </c>
      <c r="AA19" s="57">
        <v>20000000000</v>
      </c>
      <c r="AB19" s="57">
        <v>75000000000</v>
      </c>
      <c r="AC19" s="57">
        <v>10500000000</v>
      </c>
      <c r="AD19" s="57">
        <v>3500000000</v>
      </c>
      <c r="AE19" s="57">
        <v>52000000000</v>
      </c>
      <c r="AF19" s="57">
        <v>88000000000</v>
      </c>
      <c r="AG19" s="57">
        <v>38000000000</v>
      </c>
      <c r="AH19" s="57">
        <v>34000000000</v>
      </c>
      <c r="AI19" s="57">
        <v>98000000000</v>
      </c>
      <c r="AJ19" s="57">
        <v>285000000000</v>
      </c>
      <c r="AK19" s="57">
        <v>42000000000</v>
      </c>
      <c r="AL19" s="57">
        <v>115000000000</v>
      </c>
      <c r="AM19" s="57">
        <v>50000000000</v>
      </c>
      <c r="AN19" s="57">
        <v>182000000000</v>
      </c>
      <c r="AO19" s="57">
        <v>76000000000</v>
      </c>
      <c r="AP19" s="57">
        <v>178000000000</v>
      </c>
      <c r="AQ19" s="57">
        <v>365000000000</v>
      </c>
      <c r="AR19" s="57">
        <v>25500000000</v>
      </c>
      <c r="AS19" s="57">
        <v>20000000000</v>
      </c>
      <c r="AT19" s="57">
        <v>28000000000</v>
      </c>
      <c r="AU19" s="57">
        <v>29000000000</v>
      </c>
      <c r="AV19" s="57">
        <v>20000000000</v>
      </c>
      <c r="AW19" s="57">
        <v>22500000000</v>
      </c>
      <c r="AX19" s="57">
        <v>49000000000</v>
      </c>
      <c r="AY19" s="57">
        <v>23000000000</v>
      </c>
      <c r="AZ19" s="57">
        <v>8200000000</v>
      </c>
      <c r="BA19" s="57">
        <v>6200000000</v>
      </c>
      <c r="BB19" s="57">
        <v>31000000000</v>
      </c>
      <c r="BC19" s="57">
        <v>41000000000</v>
      </c>
      <c r="BD19" s="57">
        <v>21000000000</v>
      </c>
      <c r="BE19" s="57">
        <v>75000000000</v>
      </c>
      <c r="BF19" s="57">
        <v>10500000000</v>
      </c>
      <c r="BG19" s="57">
        <v>36000000000</v>
      </c>
      <c r="BH19" s="57">
        <v>21000000000</v>
      </c>
      <c r="BI19" s="57">
        <v>98500000000</v>
      </c>
    </row>
    <row r="20" spans="1:62" x14ac:dyDescent="0.3">
      <c r="A20" s="2" t="s">
        <v>21</v>
      </c>
      <c r="B20" s="57">
        <v>480000000000</v>
      </c>
      <c r="C20" s="57">
        <v>300000000000</v>
      </c>
      <c r="D20" s="57">
        <v>750000000000</v>
      </c>
      <c r="E20" s="57">
        <v>420000000000</v>
      </c>
      <c r="F20" s="57">
        <v>210000000000</v>
      </c>
      <c r="G20" s="57">
        <v>145000000000</v>
      </c>
      <c r="H20" s="57">
        <v>100000000000</v>
      </c>
      <c r="I20" s="57">
        <v>68000000000</v>
      </c>
      <c r="J20" s="57">
        <v>110000000000</v>
      </c>
      <c r="K20" s="57">
        <v>62000000000</v>
      </c>
      <c r="L20" s="57">
        <v>45000000000</v>
      </c>
      <c r="M20" s="57">
        <v>300000000000</v>
      </c>
      <c r="N20" s="57">
        <v>70000000000</v>
      </c>
      <c r="O20" s="57">
        <v>64000000000</v>
      </c>
      <c r="P20" s="57">
        <v>45000000000</v>
      </c>
      <c r="Q20" s="57">
        <v>35000000000</v>
      </c>
      <c r="R20" s="57">
        <v>16500000000</v>
      </c>
      <c r="S20" s="57">
        <v>39000000000</v>
      </c>
      <c r="T20" s="57">
        <v>31000000000</v>
      </c>
      <c r="U20" s="57">
        <v>215000000000</v>
      </c>
      <c r="V20" s="57">
        <v>125000000000</v>
      </c>
      <c r="W20" s="57">
        <v>102000000000</v>
      </c>
      <c r="X20" s="57">
        <v>72000000000</v>
      </c>
      <c r="Y20" s="57">
        <v>305000000000</v>
      </c>
      <c r="Z20" s="57">
        <v>390000000000</v>
      </c>
      <c r="AA20" s="57">
        <v>22000000000</v>
      </c>
      <c r="AB20" s="57">
        <v>82000000000</v>
      </c>
      <c r="AC20" s="57">
        <v>11500000000</v>
      </c>
      <c r="AD20" s="57">
        <v>4200000000</v>
      </c>
      <c r="AE20" s="57">
        <v>58000000000</v>
      </c>
      <c r="AF20" s="57">
        <v>95000000000</v>
      </c>
      <c r="AG20" s="57">
        <v>43000000000</v>
      </c>
      <c r="AH20" s="57">
        <v>39000000000</v>
      </c>
      <c r="AI20" s="57">
        <v>105000000000</v>
      </c>
      <c r="AJ20" s="57">
        <v>315000000000</v>
      </c>
      <c r="AK20" s="57">
        <v>46000000000</v>
      </c>
      <c r="AL20" s="57">
        <v>123000000000</v>
      </c>
      <c r="AM20" s="57">
        <v>55000000000</v>
      </c>
      <c r="AN20" s="57">
        <v>195000000000</v>
      </c>
      <c r="AO20" s="57">
        <v>82000000000</v>
      </c>
      <c r="AP20" s="57">
        <v>192000000000</v>
      </c>
      <c r="AQ20" s="57">
        <v>395000000000</v>
      </c>
      <c r="AR20" s="57">
        <v>28000000000</v>
      </c>
      <c r="AS20" s="57">
        <v>22500000000</v>
      </c>
      <c r="AT20" s="57">
        <v>30500000000</v>
      </c>
      <c r="AU20" s="57">
        <v>31500000000</v>
      </c>
      <c r="AV20" s="57">
        <v>22000000000</v>
      </c>
      <c r="AW20" s="57">
        <v>25000000000</v>
      </c>
      <c r="AX20" s="57">
        <v>52000000000</v>
      </c>
      <c r="AY20" s="57">
        <v>25000000000</v>
      </c>
      <c r="AZ20" s="57">
        <v>9000000000</v>
      </c>
      <c r="BA20" s="57">
        <v>6800000000</v>
      </c>
      <c r="BB20" s="57">
        <v>33500000000</v>
      </c>
      <c r="BC20" s="57">
        <v>44500000000</v>
      </c>
      <c r="BD20" s="57">
        <v>24500000000</v>
      </c>
      <c r="BE20" s="57">
        <v>82000000000</v>
      </c>
      <c r="BF20" s="57">
        <v>11500000000</v>
      </c>
      <c r="BG20" s="57">
        <v>40000000000</v>
      </c>
      <c r="BH20" s="57">
        <v>23000000000</v>
      </c>
      <c r="BI20" s="57">
        <v>102000000000</v>
      </c>
    </row>
    <row r="21" spans="1:62" x14ac:dyDescent="0.3">
      <c r="A21" s="2" t="s">
        <v>22</v>
      </c>
      <c r="B21" s="57">
        <v>120000000000</v>
      </c>
      <c r="C21" s="57">
        <v>98000000000</v>
      </c>
      <c r="D21" s="57">
        <v>42000000000</v>
      </c>
      <c r="E21" s="57">
        <v>95000000000</v>
      </c>
      <c r="F21" s="57">
        <v>55000000000</v>
      </c>
      <c r="G21" s="57">
        <v>12000000000</v>
      </c>
      <c r="H21" s="57">
        <v>38000000000</v>
      </c>
      <c r="I21" s="57">
        <v>3500000000</v>
      </c>
      <c r="J21" s="57">
        <v>12500000000</v>
      </c>
      <c r="K21" s="57">
        <v>7200000000</v>
      </c>
      <c r="L21" s="57">
        <v>6500000000</v>
      </c>
      <c r="M21" s="57">
        <v>9000000000</v>
      </c>
      <c r="N21" s="57">
        <v>9800000000</v>
      </c>
      <c r="O21" s="57">
        <v>16500000000</v>
      </c>
      <c r="P21" s="57">
        <v>12500000000</v>
      </c>
      <c r="Q21" s="57">
        <v>3000000000</v>
      </c>
      <c r="R21" s="57">
        <v>2200000000</v>
      </c>
      <c r="S21" s="57">
        <v>5500000000</v>
      </c>
      <c r="T21" s="57">
        <v>8200000000</v>
      </c>
      <c r="U21" s="57">
        <v>9800000000</v>
      </c>
      <c r="V21" s="57">
        <v>4600000000</v>
      </c>
      <c r="W21" s="57">
        <v>14500000000</v>
      </c>
      <c r="X21" s="57">
        <v>11500000000</v>
      </c>
      <c r="Y21" s="57">
        <v>30000000000</v>
      </c>
      <c r="Z21" s="57">
        <v>48000000000</v>
      </c>
      <c r="AA21" s="57">
        <v>4800000000</v>
      </c>
      <c r="AB21" s="57">
        <v>26500000000</v>
      </c>
      <c r="AC21" s="57">
        <v>3500000000</v>
      </c>
      <c r="AD21" s="57">
        <v>200000000</v>
      </c>
      <c r="AE21" s="57">
        <v>10500000000</v>
      </c>
      <c r="AF21" s="57">
        <v>12500000000</v>
      </c>
      <c r="AG21" s="57">
        <v>9500000000</v>
      </c>
      <c r="AH21" s="57">
        <v>9800000000</v>
      </c>
      <c r="AI21" s="57">
        <v>24500000000</v>
      </c>
      <c r="AJ21" s="57">
        <v>40000000000</v>
      </c>
      <c r="AK21" s="57">
        <v>7000000000</v>
      </c>
      <c r="AL21" s="57">
        <v>9800000000</v>
      </c>
      <c r="AM21" s="57">
        <v>11500000000</v>
      </c>
      <c r="AN21" s="57">
        <v>16000000000</v>
      </c>
      <c r="AO21" s="57">
        <v>3500000000</v>
      </c>
      <c r="AP21" s="57">
        <v>19500000000</v>
      </c>
      <c r="AQ21" s="57">
        <v>24500000000</v>
      </c>
      <c r="AR21" s="57">
        <v>1500000000</v>
      </c>
      <c r="AS21" s="57">
        <v>4600000000</v>
      </c>
      <c r="AT21" s="57">
        <v>2800000000</v>
      </c>
      <c r="AU21" s="57">
        <v>7000000000</v>
      </c>
      <c r="AV21" s="57">
        <v>8200000000</v>
      </c>
      <c r="AW21" s="57">
        <v>4600000000</v>
      </c>
      <c r="AX21" s="57">
        <v>5200000000</v>
      </c>
      <c r="AY21" s="57">
        <v>8200000000</v>
      </c>
      <c r="AZ21" s="57">
        <v>2600000000</v>
      </c>
      <c r="BA21" s="57">
        <v>1200000000</v>
      </c>
      <c r="BB21" s="57">
        <v>3600000000</v>
      </c>
      <c r="BC21" s="57">
        <v>5200000000</v>
      </c>
      <c r="BD21" s="57">
        <v>2400000000</v>
      </c>
      <c r="BE21" s="57">
        <v>8200000000</v>
      </c>
      <c r="BF21" s="57">
        <v>3500000000</v>
      </c>
      <c r="BG21" s="57">
        <v>500000000</v>
      </c>
      <c r="BH21" s="57">
        <v>1800000000</v>
      </c>
      <c r="BI21" s="57">
        <v>18500000000</v>
      </c>
    </row>
    <row r="22" spans="1:62" x14ac:dyDescent="0.3">
      <c r="A22" s="2" t="s">
        <v>23</v>
      </c>
      <c r="B22" s="57">
        <v>130000000000</v>
      </c>
      <c r="C22" s="57">
        <v>112000000000</v>
      </c>
      <c r="D22" s="57">
        <v>50000000000</v>
      </c>
      <c r="E22" s="57">
        <v>110000000000</v>
      </c>
      <c r="F22" s="57">
        <v>65000000000</v>
      </c>
      <c r="G22" s="57">
        <v>15000000000</v>
      </c>
      <c r="H22" s="57">
        <v>45000000000</v>
      </c>
      <c r="I22" s="57">
        <v>4800000000</v>
      </c>
      <c r="J22" s="57">
        <v>13800000000</v>
      </c>
      <c r="K22" s="57">
        <v>8200000000</v>
      </c>
      <c r="L22" s="57">
        <v>7200000000</v>
      </c>
      <c r="M22" s="57">
        <v>10200000000</v>
      </c>
      <c r="N22" s="57">
        <v>10500000000</v>
      </c>
      <c r="O22" s="57">
        <v>18500000000</v>
      </c>
      <c r="P22" s="57">
        <v>14000000000</v>
      </c>
      <c r="Q22" s="57">
        <v>4500000000</v>
      </c>
      <c r="R22" s="57">
        <v>3000000000</v>
      </c>
      <c r="S22" s="57">
        <v>6200000000</v>
      </c>
      <c r="T22" s="57">
        <v>9500000000</v>
      </c>
      <c r="U22" s="57">
        <v>11500000000</v>
      </c>
      <c r="V22" s="57">
        <v>5200000000</v>
      </c>
      <c r="W22" s="57">
        <v>16000000000</v>
      </c>
      <c r="X22" s="57">
        <v>12800000000</v>
      </c>
      <c r="Y22" s="57">
        <v>34000000000</v>
      </c>
      <c r="Z22" s="57">
        <v>53000000000</v>
      </c>
      <c r="AA22" s="57">
        <v>5400000000</v>
      </c>
      <c r="AB22" s="57">
        <v>30000000000</v>
      </c>
      <c r="AC22" s="57">
        <v>4000000000</v>
      </c>
      <c r="AD22" s="57">
        <v>350000000</v>
      </c>
      <c r="AE22" s="57">
        <v>11500000000</v>
      </c>
      <c r="AF22" s="57">
        <v>14500000000</v>
      </c>
      <c r="AG22" s="57">
        <v>11000000000</v>
      </c>
      <c r="AH22" s="57">
        <v>11500000000</v>
      </c>
      <c r="AI22" s="57">
        <v>27500000000</v>
      </c>
      <c r="AJ22" s="57">
        <v>46000000000</v>
      </c>
      <c r="AK22" s="57">
        <v>8200000000</v>
      </c>
      <c r="AL22" s="57">
        <v>11200000000</v>
      </c>
      <c r="AM22" s="57">
        <v>13000000000</v>
      </c>
      <c r="AN22" s="57">
        <v>18000000000</v>
      </c>
      <c r="AO22" s="57">
        <v>4800000000</v>
      </c>
      <c r="AP22" s="57">
        <v>22500000000</v>
      </c>
      <c r="AQ22" s="57">
        <v>28000000000</v>
      </c>
      <c r="AR22" s="57">
        <v>2300000000</v>
      </c>
      <c r="AS22" s="57">
        <v>5200000000</v>
      </c>
      <c r="AT22" s="57">
        <v>3200000000</v>
      </c>
      <c r="AU22" s="57">
        <v>8200000000</v>
      </c>
      <c r="AV22" s="57">
        <v>9600000000</v>
      </c>
      <c r="AW22" s="57">
        <v>5500000000</v>
      </c>
      <c r="AX22" s="57">
        <v>6000000000</v>
      </c>
      <c r="AY22" s="57">
        <v>9500000000</v>
      </c>
      <c r="AZ22" s="57">
        <v>3000000000</v>
      </c>
      <c r="BA22" s="57">
        <v>1500000000</v>
      </c>
      <c r="BB22" s="57">
        <v>4100000000</v>
      </c>
      <c r="BC22" s="57">
        <v>6000000000</v>
      </c>
      <c r="BD22" s="57">
        <v>3100000000</v>
      </c>
      <c r="BE22" s="57">
        <v>9500000000</v>
      </c>
      <c r="BF22" s="57">
        <v>4000000000</v>
      </c>
      <c r="BG22" s="57">
        <v>1500000000</v>
      </c>
      <c r="BH22" s="57">
        <v>2400000000</v>
      </c>
      <c r="BI22" s="57">
        <v>19500000000</v>
      </c>
    </row>
    <row r="23" spans="1:62" x14ac:dyDescent="0.3">
      <c r="A23" s="2" t="s">
        <v>24</v>
      </c>
      <c r="B23" s="57">
        <v>145000000000</v>
      </c>
      <c r="C23" s="57">
        <v>130000000000</v>
      </c>
      <c r="D23" s="57">
        <v>60000000000</v>
      </c>
      <c r="E23" s="57">
        <v>125000000000</v>
      </c>
      <c r="F23" s="57">
        <v>78000000000</v>
      </c>
      <c r="G23" s="57">
        <v>19000000000</v>
      </c>
      <c r="H23" s="57">
        <v>54000000000</v>
      </c>
      <c r="I23" s="57">
        <v>6200000000</v>
      </c>
      <c r="J23" s="57">
        <v>15000000000</v>
      </c>
      <c r="K23" s="57">
        <v>9500000000</v>
      </c>
      <c r="L23" s="57">
        <v>8200000000</v>
      </c>
      <c r="M23" s="57">
        <v>11500000000</v>
      </c>
      <c r="N23" s="57">
        <v>11200000000</v>
      </c>
      <c r="O23" s="57">
        <v>21000000000</v>
      </c>
      <c r="P23" s="57">
        <v>16000000000</v>
      </c>
      <c r="Q23" s="57">
        <v>6500000000</v>
      </c>
      <c r="R23" s="57">
        <v>4200000000</v>
      </c>
      <c r="S23" s="57">
        <v>7000000000</v>
      </c>
      <c r="T23" s="57">
        <v>11200000000</v>
      </c>
      <c r="U23" s="57">
        <v>13500000000</v>
      </c>
      <c r="V23" s="57">
        <v>6000000000</v>
      </c>
      <c r="W23" s="57">
        <v>17800000000</v>
      </c>
      <c r="X23" s="57">
        <v>14500000000</v>
      </c>
      <c r="Y23" s="57">
        <v>38000000000</v>
      </c>
      <c r="Z23" s="57">
        <v>60000000000</v>
      </c>
      <c r="AA23" s="57">
        <v>6200000000</v>
      </c>
      <c r="AB23" s="57">
        <v>35000000000</v>
      </c>
      <c r="AC23" s="57">
        <v>4600000000</v>
      </c>
      <c r="AD23" s="57">
        <v>600000000</v>
      </c>
      <c r="AE23" s="57">
        <v>13000000000</v>
      </c>
      <c r="AF23" s="57">
        <v>17000000000</v>
      </c>
      <c r="AG23" s="57">
        <v>13000000000</v>
      </c>
      <c r="AH23" s="57">
        <v>13500000000</v>
      </c>
      <c r="AI23" s="57">
        <v>31000000000</v>
      </c>
      <c r="AJ23" s="57">
        <v>53000000000</v>
      </c>
      <c r="AK23" s="57">
        <v>9600000000</v>
      </c>
      <c r="AL23" s="57">
        <v>13000000000</v>
      </c>
      <c r="AM23" s="57">
        <v>15000000000</v>
      </c>
      <c r="AN23" s="57">
        <v>20500000000</v>
      </c>
      <c r="AO23" s="57">
        <v>6500000000</v>
      </c>
      <c r="AP23" s="57">
        <v>26000000000</v>
      </c>
      <c r="AQ23" s="57">
        <v>32000000000</v>
      </c>
      <c r="AR23" s="57">
        <v>3500000000</v>
      </c>
      <c r="AS23" s="57">
        <v>6100000000</v>
      </c>
      <c r="AT23" s="57">
        <v>3800000000</v>
      </c>
      <c r="AU23" s="57">
        <v>9800000000</v>
      </c>
      <c r="AV23" s="57">
        <v>11200000000</v>
      </c>
      <c r="AW23" s="57">
        <v>6700000000</v>
      </c>
      <c r="AX23" s="57">
        <v>7200000000</v>
      </c>
      <c r="AY23" s="57">
        <v>11000000000</v>
      </c>
      <c r="AZ23" s="57">
        <v>3600000000</v>
      </c>
      <c r="BA23" s="57">
        <v>1900000000</v>
      </c>
      <c r="BB23" s="57">
        <v>4800000000</v>
      </c>
      <c r="BC23" s="57">
        <v>7200000000</v>
      </c>
      <c r="BD23" s="57">
        <v>4200000000</v>
      </c>
      <c r="BE23" s="57">
        <v>11000000000</v>
      </c>
      <c r="BF23" s="57">
        <v>4600000000</v>
      </c>
      <c r="BG23" s="57">
        <v>2800000000</v>
      </c>
      <c r="BH23" s="57">
        <v>3200000000</v>
      </c>
      <c r="BI23" s="57">
        <v>21000000000</v>
      </c>
    </row>
    <row r="24" spans="1:62" x14ac:dyDescent="0.3">
      <c r="A24" s="2" t="s">
        <v>25</v>
      </c>
      <c r="B24" s="56">
        <v>25</v>
      </c>
      <c r="C24" s="56">
        <v>20</v>
      </c>
      <c r="D24" s="56">
        <v>30</v>
      </c>
      <c r="E24" s="56">
        <v>35</v>
      </c>
      <c r="F24" s="56">
        <v>40</v>
      </c>
      <c r="G24" s="56">
        <v>50</v>
      </c>
      <c r="H24" s="56">
        <v>40</v>
      </c>
      <c r="I24" s="56">
        <v>35</v>
      </c>
      <c r="J24" s="56">
        <v>30</v>
      </c>
      <c r="K24" s="56">
        <v>45</v>
      </c>
      <c r="L24" s="56">
        <v>25</v>
      </c>
      <c r="M24" s="56">
        <v>20</v>
      </c>
      <c r="N24" s="56">
        <v>35</v>
      </c>
      <c r="O24" s="56">
        <v>30</v>
      </c>
      <c r="P24" s="56">
        <v>45</v>
      </c>
      <c r="Q24" s="56">
        <v>40</v>
      </c>
      <c r="R24" s="56">
        <v>25</v>
      </c>
      <c r="S24" s="56">
        <v>50</v>
      </c>
      <c r="T24" s="56">
        <v>20</v>
      </c>
      <c r="U24" s="56">
        <v>45</v>
      </c>
      <c r="V24" s="56">
        <v>25</v>
      </c>
      <c r="W24" s="56">
        <v>30</v>
      </c>
      <c r="X24" s="56">
        <v>40</v>
      </c>
      <c r="Y24" s="56">
        <v>50</v>
      </c>
      <c r="Z24" s="56">
        <v>55</v>
      </c>
      <c r="AA24" s="56">
        <v>40</v>
      </c>
      <c r="AB24" s="56">
        <v>30</v>
      </c>
      <c r="AC24" s="56">
        <v>25</v>
      </c>
      <c r="AD24" s="56">
        <v>45</v>
      </c>
      <c r="AE24" s="56">
        <v>35</v>
      </c>
      <c r="AF24" s="56">
        <v>30</v>
      </c>
      <c r="AG24" s="56">
        <v>35</v>
      </c>
      <c r="AH24" s="56">
        <v>45</v>
      </c>
      <c r="AI24" s="56">
        <v>25</v>
      </c>
      <c r="AJ24" s="56">
        <v>50</v>
      </c>
      <c r="AK24" s="56">
        <v>40</v>
      </c>
      <c r="AL24" s="56">
        <v>30</v>
      </c>
      <c r="AM24" s="56">
        <v>35</v>
      </c>
      <c r="AN24" s="56">
        <v>25</v>
      </c>
      <c r="AO24" s="56">
        <v>40</v>
      </c>
      <c r="AP24" s="56">
        <v>45</v>
      </c>
      <c r="AQ24" s="56">
        <v>50</v>
      </c>
      <c r="AR24" s="56">
        <v>40</v>
      </c>
      <c r="AS24" s="56">
        <v>45</v>
      </c>
      <c r="AT24" s="56">
        <v>35</v>
      </c>
      <c r="AU24" s="56">
        <v>30</v>
      </c>
      <c r="AV24" s="56">
        <v>25</v>
      </c>
      <c r="AW24" s="56">
        <v>30</v>
      </c>
      <c r="AX24" s="56">
        <v>35</v>
      </c>
      <c r="AY24" s="56">
        <v>30</v>
      </c>
      <c r="AZ24" s="56">
        <v>25</v>
      </c>
      <c r="BA24" s="56">
        <v>40</v>
      </c>
      <c r="BB24" s="56">
        <v>45</v>
      </c>
      <c r="BC24" s="56">
        <v>50</v>
      </c>
      <c r="BD24" s="56">
        <v>50</v>
      </c>
      <c r="BE24" s="56">
        <v>45</v>
      </c>
      <c r="BF24" s="56">
        <v>25</v>
      </c>
      <c r="BG24" s="56">
        <v>55</v>
      </c>
      <c r="BH24" s="56">
        <v>40</v>
      </c>
      <c r="BI24" s="56">
        <v>35</v>
      </c>
      <c r="BJ24" s="2" t="s">
        <v>73</v>
      </c>
    </row>
    <row r="25" spans="1:62" x14ac:dyDescent="0.3">
      <c r="A25" s="2" t="s">
        <v>63</v>
      </c>
      <c r="B25" s="56" t="s">
        <v>26</v>
      </c>
      <c r="C25" s="56" t="s">
        <v>26</v>
      </c>
      <c r="D25" s="56" t="s">
        <v>27</v>
      </c>
      <c r="E25" s="56" t="s">
        <v>27</v>
      </c>
      <c r="F25" s="56" t="s">
        <v>27</v>
      </c>
      <c r="G25" s="56" t="s">
        <v>27</v>
      </c>
      <c r="H25" s="56" t="s">
        <v>26</v>
      </c>
      <c r="I25" s="56" t="s">
        <v>26</v>
      </c>
      <c r="J25" s="56" t="s">
        <v>26</v>
      </c>
      <c r="K25" s="56" t="s">
        <v>26</v>
      </c>
      <c r="L25" s="56" t="s">
        <v>26</v>
      </c>
      <c r="M25" s="56" t="s">
        <v>26</v>
      </c>
      <c r="N25" s="56" t="s">
        <v>26</v>
      </c>
      <c r="O25" s="56" t="s">
        <v>26</v>
      </c>
      <c r="P25" s="56" t="s">
        <v>26</v>
      </c>
      <c r="Q25" s="56" t="s">
        <v>26</v>
      </c>
      <c r="R25" s="56" t="s">
        <v>26</v>
      </c>
      <c r="S25" s="56" t="s">
        <v>27</v>
      </c>
      <c r="T25" s="56" t="s">
        <v>26</v>
      </c>
      <c r="U25" s="56" t="s">
        <v>26</v>
      </c>
      <c r="V25" s="56" t="s">
        <v>26</v>
      </c>
      <c r="W25" s="56" t="s">
        <v>26</v>
      </c>
      <c r="X25" s="56" t="s">
        <v>26</v>
      </c>
      <c r="Y25" s="56" t="s">
        <v>26</v>
      </c>
      <c r="Z25" s="56" t="s">
        <v>26</v>
      </c>
      <c r="AA25" s="56" t="s">
        <v>26</v>
      </c>
      <c r="AB25" s="56" t="s">
        <v>26</v>
      </c>
      <c r="AC25" s="56" t="s">
        <v>26</v>
      </c>
      <c r="AD25" s="56" t="s">
        <v>26</v>
      </c>
      <c r="AE25" s="56" t="s">
        <v>26</v>
      </c>
      <c r="AF25" s="56" t="s">
        <v>26</v>
      </c>
      <c r="AG25" s="56" t="s">
        <v>26</v>
      </c>
      <c r="AH25" s="56" t="s">
        <v>26</v>
      </c>
      <c r="AI25" s="56" t="s">
        <v>26</v>
      </c>
      <c r="AJ25" s="56" t="s">
        <v>26</v>
      </c>
      <c r="AK25" s="56" t="s">
        <v>26</v>
      </c>
      <c r="AL25" s="56" t="s">
        <v>26</v>
      </c>
      <c r="AM25" s="56" t="s">
        <v>26</v>
      </c>
      <c r="AN25" s="56" t="s">
        <v>26</v>
      </c>
      <c r="AO25" s="56" t="s">
        <v>26</v>
      </c>
      <c r="AP25" s="56" t="s">
        <v>26</v>
      </c>
      <c r="AQ25" s="56" t="s">
        <v>26</v>
      </c>
      <c r="AR25" s="56" t="s">
        <v>26</v>
      </c>
      <c r="AS25" s="56" t="s">
        <v>26</v>
      </c>
      <c r="AT25" s="56" t="s">
        <v>26</v>
      </c>
      <c r="AU25" s="56" t="s">
        <v>26</v>
      </c>
      <c r="AV25" s="56" t="s">
        <v>26</v>
      </c>
      <c r="AW25" s="56" t="s">
        <v>26</v>
      </c>
      <c r="AX25" s="56" t="s">
        <v>26</v>
      </c>
      <c r="AY25" s="56" t="s">
        <v>26</v>
      </c>
      <c r="AZ25" s="56" t="s">
        <v>26</v>
      </c>
      <c r="BA25" s="56" t="s">
        <v>26</v>
      </c>
      <c r="BB25" s="56" t="s">
        <v>26</v>
      </c>
      <c r="BC25" s="56" t="s">
        <v>26</v>
      </c>
      <c r="BD25" s="56" t="s">
        <v>26</v>
      </c>
      <c r="BE25" s="56" t="s">
        <v>26</v>
      </c>
      <c r="BF25" s="56" t="s">
        <v>26</v>
      </c>
      <c r="BG25" s="56" t="s">
        <v>26</v>
      </c>
      <c r="BH25" s="56" t="s">
        <v>26</v>
      </c>
      <c r="BI25" s="56" t="s">
        <v>26</v>
      </c>
      <c r="BJ25" s="2" t="s">
        <v>74</v>
      </c>
    </row>
    <row r="26" spans="1:62" x14ac:dyDescent="0.3">
      <c r="A26" s="2" t="s">
        <v>64</v>
      </c>
      <c r="B26" s="56" t="s">
        <v>26</v>
      </c>
      <c r="C26" s="56" t="s">
        <v>26</v>
      </c>
      <c r="D26" s="56" t="s">
        <v>27</v>
      </c>
      <c r="E26" s="56" t="s">
        <v>26</v>
      </c>
      <c r="F26" s="56" t="s">
        <v>26</v>
      </c>
      <c r="G26" s="56" t="s">
        <v>27</v>
      </c>
      <c r="H26" s="56" t="s">
        <v>27</v>
      </c>
      <c r="I26" s="56" t="s">
        <v>27</v>
      </c>
      <c r="J26" s="56" t="s">
        <v>26</v>
      </c>
      <c r="K26" s="56" t="s">
        <v>27</v>
      </c>
      <c r="L26" s="56" t="s">
        <v>27</v>
      </c>
      <c r="M26" s="56" t="s">
        <v>26</v>
      </c>
      <c r="N26" s="56" t="s">
        <v>26</v>
      </c>
      <c r="O26" s="56" t="s">
        <v>26</v>
      </c>
      <c r="P26" s="56" t="s">
        <v>27</v>
      </c>
      <c r="Q26" s="56" t="s">
        <v>27</v>
      </c>
      <c r="R26" s="56" t="s">
        <v>26</v>
      </c>
      <c r="S26" s="56" t="s">
        <v>27</v>
      </c>
      <c r="T26" s="56" t="s">
        <v>26</v>
      </c>
      <c r="U26" s="56" t="s">
        <v>27</v>
      </c>
      <c r="V26" s="56" t="s">
        <v>27</v>
      </c>
      <c r="W26" s="56" t="s">
        <v>27</v>
      </c>
      <c r="X26" s="56" t="s">
        <v>27</v>
      </c>
      <c r="Y26" s="56" t="s">
        <v>27</v>
      </c>
      <c r="Z26" s="56" t="s">
        <v>27</v>
      </c>
      <c r="AA26" s="56" t="s">
        <v>27</v>
      </c>
      <c r="AB26" s="56" t="s">
        <v>26</v>
      </c>
      <c r="AC26" s="56" t="s">
        <v>26</v>
      </c>
      <c r="AD26" s="56" t="s">
        <v>27</v>
      </c>
      <c r="AE26" s="56" t="s">
        <v>26</v>
      </c>
      <c r="AF26" s="56" t="s">
        <v>27</v>
      </c>
      <c r="AG26" s="56" t="s">
        <v>26</v>
      </c>
      <c r="AH26" s="56" t="s">
        <v>27</v>
      </c>
      <c r="AI26" s="56" t="s">
        <v>26</v>
      </c>
      <c r="AJ26" s="56" t="s">
        <v>27</v>
      </c>
      <c r="AK26" s="56" t="s">
        <v>27</v>
      </c>
      <c r="AL26" s="56" t="s">
        <v>26</v>
      </c>
      <c r="AM26" s="56" t="s">
        <v>26</v>
      </c>
      <c r="AN26" s="56" t="s">
        <v>26</v>
      </c>
      <c r="AO26" s="56" t="s">
        <v>27</v>
      </c>
      <c r="AP26" s="56" t="s">
        <v>27</v>
      </c>
      <c r="AQ26" s="56" t="s">
        <v>27</v>
      </c>
      <c r="AR26" s="56" t="s">
        <v>27</v>
      </c>
      <c r="AS26" s="56" t="s">
        <v>27</v>
      </c>
      <c r="AT26" s="56" t="s">
        <v>27</v>
      </c>
      <c r="AU26" s="56" t="s">
        <v>26</v>
      </c>
      <c r="AV26" s="56" t="s">
        <v>26</v>
      </c>
      <c r="AW26" s="56" t="s">
        <v>26</v>
      </c>
      <c r="AX26" s="56" t="s">
        <v>27</v>
      </c>
      <c r="AY26" s="56" t="s">
        <v>27</v>
      </c>
      <c r="AZ26" s="56" t="s">
        <v>26</v>
      </c>
      <c r="BA26" s="56" t="s">
        <v>27</v>
      </c>
      <c r="BB26" s="56" t="s">
        <v>27</v>
      </c>
      <c r="BC26" s="56" t="s">
        <v>27</v>
      </c>
      <c r="BD26" s="56" t="s">
        <v>27</v>
      </c>
      <c r="BE26" s="56" t="s">
        <v>27</v>
      </c>
      <c r="BF26" s="56" t="s">
        <v>26</v>
      </c>
      <c r="BG26" s="56" t="s">
        <v>27</v>
      </c>
      <c r="BH26" s="56" t="s">
        <v>27</v>
      </c>
      <c r="BI26" s="56" t="s">
        <v>26</v>
      </c>
      <c r="BJ26" s="2" t="s">
        <v>74</v>
      </c>
    </row>
    <row r="27" spans="1:62" x14ac:dyDescent="0.3">
      <c r="A27" s="2" t="s">
        <v>65</v>
      </c>
      <c r="B27" s="56" t="s">
        <v>27</v>
      </c>
      <c r="C27" s="56" t="s">
        <v>27</v>
      </c>
      <c r="D27" s="56" t="s">
        <v>27</v>
      </c>
      <c r="E27" s="56" t="s">
        <v>27</v>
      </c>
      <c r="F27" s="56" t="s">
        <v>27</v>
      </c>
      <c r="G27" s="56" t="s">
        <v>27</v>
      </c>
      <c r="H27" s="56" t="s">
        <v>27</v>
      </c>
      <c r="I27" s="56" t="s">
        <v>27</v>
      </c>
      <c r="J27" s="56" t="s">
        <v>27</v>
      </c>
      <c r="K27" s="56" t="s">
        <v>27</v>
      </c>
      <c r="L27" s="56" t="s">
        <v>27</v>
      </c>
      <c r="M27" s="56" t="s">
        <v>27</v>
      </c>
      <c r="N27" s="56" t="s">
        <v>27</v>
      </c>
      <c r="O27" s="56" t="s">
        <v>27</v>
      </c>
      <c r="P27" s="56" t="s">
        <v>27</v>
      </c>
      <c r="Q27" s="56" t="s">
        <v>27</v>
      </c>
      <c r="R27" s="56" t="s">
        <v>27</v>
      </c>
      <c r="S27" s="56" t="s">
        <v>27</v>
      </c>
      <c r="T27" s="56" t="s">
        <v>27</v>
      </c>
      <c r="U27" s="56" t="s">
        <v>27</v>
      </c>
      <c r="V27" s="56" t="s">
        <v>27</v>
      </c>
      <c r="W27" s="56" t="s">
        <v>27</v>
      </c>
      <c r="X27" s="56" t="s">
        <v>27</v>
      </c>
      <c r="Y27" s="56" t="s">
        <v>27</v>
      </c>
      <c r="Z27" s="56" t="s">
        <v>27</v>
      </c>
      <c r="AA27" s="56" t="s">
        <v>27</v>
      </c>
      <c r="AB27" s="56" t="s">
        <v>27</v>
      </c>
      <c r="AC27" s="56" t="s">
        <v>27</v>
      </c>
      <c r="AD27" s="56" t="s">
        <v>27</v>
      </c>
      <c r="AE27" s="56" t="s">
        <v>27</v>
      </c>
      <c r="AF27" s="56" t="s">
        <v>27</v>
      </c>
      <c r="AG27" s="56" t="s">
        <v>27</v>
      </c>
      <c r="AH27" s="56" t="s">
        <v>27</v>
      </c>
      <c r="AI27" s="56" t="s">
        <v>27</v>
      </c>
      <c r="AJ27" s="56" t="s">
        <v>27</v>
      </c>
      <c r="AK27" s="56" t="s">
        <v>27</v>
      </c>
      <c r="AL27" s="56" t="s">
        <v>27</v>
      </c>
      <c r="AM27" s="56" t="s">
        <v>27</v>
      </c>
      <c r="AN27" s="56" t="s">
        <v>27</v>
      </c>
      <c r="AO27" s="56" t="s">
        <v>27</v>
      </c>
      <c r="AP27" s="56" t="s">
        <v>27</v>
      </c>
      <c r="AQ27" s="56" t="s">
        <v>27</v>
      </c>
      <c r="AR27" s="56" t="s">
        <v>27</v>
      </c>
      <c r="AS27" s="56" t="s">
        <v>27</v>
      </c>
      <c r="AT27" s="56" t="s">
        <v>27</v>
      </c>
      <c r="AU27" s="56" t="s">
        <v>27</v>
      </c>
      <c r="AV27" s="56" t="s">
        <v>27</v>
      </c>
      <c r="AW27" s="56" t="s">
        <v>27</v>
      </c>
      <c r="AX27" s="56" t="s">
        <v>27</v>
      </c>
      <c r="AY27" s="56" t="s">
        <v>27</v>
      </c>
      <c r="AZ27" s="56" t="s">
        <v>27</v>
      </c>
      <c r="BA27" s="56" t="s">
        <v>27</v>
      </c>
      <c r="BB27" s="56" t="s">
        <v>27</v>
      </c>
      <c r="BC27" s="56" t="s">
        <v>27</v>
      </c>
      <c r="BD27" s="56" t="s">
        <v>27</v>
      </c>
      <c r="BE27" s="56" t="s">
        <v>27</v>
      </c>
      <c r="BF27" s="56" t="s">
        <v>27</v>
      </c>
      <c r="BG27" s="56" t="s">
        <v>27</v>
      </c>
      <c r="BH27" s="56" t="s">
        <v>27</v>
      </c>
      <c r="BI27" s="56" t="s">
        <v>27</v>
      </c>
      <c r="BJ27" s="2" t="s">
        <v>74</v>
      </c>
    </row>
    <row r="28" spans="1:62" x14ac:dyDescent="0.3">
      <c r="A28" s="2" t="s">
        <v>66</v>
      </c>
      <c r="B28" s="56" t="s">
        <v>28</v>
      </c>
      <c r="C28" s="56" t="s">
        <v>28</v>
      </c>
      <c r="D28" s="56" t="s">
        <v>28</v>
      </c>
      <c r="E28" s="56" t="s">
        <v>28</v>
      </c>
      <c r="F28" s="56" t="s">
        <v>28</v>
      </c>
      <c r="G28" s="56" t="s">
        <v>28</v>
      </c>
      <c r="H28" s="56" t="s">
        <v>28</v>
      </c>
      <c r="I28" s="56" t="s">
        <v>28</v>
      </c>
      <c r="J28" s="56" t="s">
        <v>28</v>
      </c>
      <c r="K28" s="56" t="s">
        <v>28</v>
      </c>
      <c r="L28" s="56" t="s">
        <v>28</v>
      </c>
      <c r="M28" s="56" t="s">
        <v>28</v>
      </c>
      <c r="N28" s="56" t="s">
        <v>28</v>
      </c>
      <c r="O28" s="56" t="s">
        <v>28</v>
      </c>
      <c r="P28" s="56" t="s">
        <v>28</v>
      </c>
      <c r="Q28" s="56" t="s">
        <v>28</v>
      </c>
      <c r="R28" s="56" t="s">
        <v>28</v>
      </c>
      <c r="S28" s="56" t="s">
        <v>28</v>
      </c>
      <c r="T28" s="56" t="s">
        <v>28</v>
      </c>
      <c r="U28" s="56" t="s">
        <v>28</v>
      </c>
      <c r="V28" s="56" t="s">
        <v>28</v>
      </c>
      <c r="W28" s="56" t="s">
        <v>28</v>
      </c>
      <c r="X28" s="56" t="s">
        <v>28</v>
      </c>
      <c r="Y28" s="56" t="s">
        <v>28</v>
      </c>
      <c r="Z28" s="56" t="s">
        <v>28</v>
      </c>
      <c r="AA28" s="56" t="s">
        <v>28</v>
      </c>
      <c r="AB28" s="56" t="s">
        <v>28</v>
      </c>
      <c r="AC28" s="56" t="s">
        <v>28</v>
      </c>
      <c r="AD28" s="56" t="s">
        <v>28</v>
      </c>
      <c r="AE28" s="56" t="s">
        <v>28</v>
      </c>
      <c r="AF28" s="56" t="s">
        <v>28</v>
      </c>
      <c r="AG28" s="56" t="s">
        <v>28</v>
      </c>
      <c r="AH28" s="56" t="s">
        <v>28</v>
      </c>
      <c r="AI28" s="56" t="s">
        <v>28</v>
      </c>
      <c r="AJ28" s="56" t="s">
        <v>28</v>
      </c>
      <c r="AK28" s="56" t="s">
        <v>28</v>
      </c>
      <c r="AL28" s="56" t="s">
        <v>28</v>
      </c>
      <c r="AM28" s="56" t="s">
        <v>28</v>
      </c>
      <c r="AN28" s="56" t="s">
        <v>28</v>
      </c>
      <c r="AO28" s="56" t="s">
        <v>28</v>
      </c>
      <c r="AP28" s="56" t="s">
        <v>28</v>
      </c>
      <c r="AQ28" s="56" t="s">
        <v>28</v>
      </c>
      <c r="AR28" s="56" t="s">
        <v>28</v>
      </c>
      <c r="AS28" s="56" t="s">
        <v>28</v>
      </c>
      <c r="AT28" s="56" t="s">
        <v>28</v>
      </c>
      <c r="AU28" s="56" t="s">
        <v>28</v>
      </c>
      <c r="AV28" s="56" t="s">
        <v>28</v>
      </c>
      <c r="AW28" s="56" t="s">
        <v>28</v>
      </c>
      <c r="AX28" s="56" t="s">
        <v>28</v>
      </c>
      <c r="AY28" s="56" t="s">
        <v>28</v>
      </c>
      <c r="AZ28" s="56" t="s">
        <v>28</v>
      </c>
      <c r="BA28" s="56" t="s">
        <v>28</v>
      </c>
      <c r="BB28" s="56" t="s">
        <v>28</v>
      </c>
      <c r="BC28" s="56" t="s">
        <v>28</v>
      </c>
      <c r="BD28" s="56" t="s">
        <v>28</v>
      </c>
      <c r="BE28" s="56" t="s">
        <v>28</v>
      </c>
      <c r="BF28" s="56" t="s">
        <v>28</v>
      </c>
      <c r="BG28" s="56" t="s">
        <v>28</v>
      </c>
      <c r="BH28" s="56" t="s">
        <v>28</v>
      </c>
      <c r="BI28" s="56" t="s">
        <v>28</v>
      </c>
      <c r="BJ28" s="2" t="s">
        <v>75</v>
      </c>
    </row>
    <row r="29" spans="1:62" x14ac:dyDescent="0.3">
      <c r="A29" s="2" t="s">
        <v>67</v>
      </c>
      <c r="B29" s="56" t="s">
        <v>774</v>
      </c>
      <c r="C29" s="56" t="s">
        <v>774</v>
      </c>
      <c r="D29" s="56" t="s">
        <v>775</v>
      </c>
      <c r="E29" s="56" t="s">
        <v>774</v>
      </c>
      <c r="F29" s="56" t="s">
        <v>775</v>
      </c>
      <c r="G29" s="56" t="s">
        <v>775</v>
      </c>
      <c r="H29" s="56" t="s">
        <v>774</v>
      </c>
      <c r="I29" s="56" t="s">
        <v>775</v>
      </c>
      <c r="J29" s="56" t="s">
        <v>775</v>
      </c>
      <c r="K29" s="56" t="s">
        <v>775</v>
      </c>
      <c r="L29" s="56" t="s">
        <v>776</v>
      </c>
      <c r="M29" s="56" t="s">
        <v>775</v>
      </c>
      <c r="N29" s="56" t="s">
        <v>775</v>
      </c>
      <c r="O29" s="56" t="s">
        <v>775</v>
      </c>
      <c r="P29" s="56" t="s">
        <v>774</v>
      </c>
      <c r="Q29" s="56" t="s">
        <v>774</v>
      </c>
      <c r="R29" s="56" t="s">
        <v>774</v>
      </c>
      <c r="S29" s="56" t="s">
        <v>775</v>
      </c>
      <c r="T29" s="56" t="s">
        <v>774</v>
      </c>
      <c r="U29" s="56" t="s">
        <v>775</v>
      </c>
      <c r="V29" s="56" t="s">
        <v>776</v>
      </c>
      <c r="W29" s="56" t="s">
        <v>775</v>
      </c>
      <c r="X29" s="56" t="s">
        <v>775</v>
      </c>
      <c r="Y29" s="56" t="s">
        <v>775</v>
      </c>
      <c r="Z29" s="56" t="s">
        <v>775</v>
      </c>
      <c r="AA29" s="56" t="s">
        <v>775</v>
      </c>
      <c r="AB29" s="56" t="s">
        <v>776</v>
      </c>
      <c r="AC29" s="56" t="s">
        <v>774</v>
      </c>
      <c r="AD29" s="56" t="s">
        <v>776</v>
      </c>
      <c r="AE29" s="56" t="s">
        <v>774</v>
      </c>
      <c r="AF29" s="56" t="s">
        <v>775</v>
      </c>
      <c r="AG29" s="56" t="s">
        <v>774</v>
      </c>
      <c r="AH29" s="56" t="s">
        <v>774</v>
      </c>
      <c r="AI29" s="56" t="s">
        <v>774</v>
      </c>
      <c r="AJ29" s="56" t="s">
        <v>775</v>
      </c>
      <c r="AK29" s="56" t="s">
        <v>774</v>
      </c>
      <c r="AL29" s="56" t="s">
        <v>774</v>
      </c>
      <c r="AM29" s="56" t="s">
        <v>774</v>
      </c>
      <c r="AN29" s="56" t="s">
        <v>774</v>
      </c>
      <c r="AO29" s="56" t="s">
        <v>775</v>
      </c>
      <c r="AP29" s="56" t="s">
        <v>775</v>
      </c>
      <c r="AQ29" s="56" t="s">
        <v>775</v>
      </c>
      <c r="AR29" s="56" t="s">
        <v>775</v>
      </c>
      <c r="AS29" s="56" t="s">
        <v>774</v>
      </c>
      <c r="AT29" s="56" t="s">
        <v>775</v>
      </c>
      <c r="AU29" s="56" t="s">
        <v>776</v>
      </c>
      <c r="AV29" s="56" t="s">
        <v>776</v>
      </c>
      <c r="AW29" s="56" t="s">
        <v>776</v>
      </c>
      <c r="AX29" s="56" t="s">
        <v>776</v>
      </c>
      <c r="AY29" s="56" t="s">
        <v>776</v>
      </c>
      <c r="AZ29" s="56" t="s">
        <v>774</v>
      </c>
      <c r="BA29" s="56" t="s">
        <v>775</v>
      </c>
      <c r="BB29" s="56" t="s">
        <v>775</v>
      </c>
      <c r="BC29" s="56" t="s">
        <v>775</v>
      </c>
      <c r="BD29" s="56" t="s">
        <v>775</v>
      </c>
      <c r="BE29" s="56" t="s">
        <v>774</v>
      </c>
      <c r="BF29" s="56" t="s">
        <v>774</v>
      </c>
      <c r="BG29" s="56" t="s">
        <v>775</v>
      </c>
      <c r="BH29" s="56" t="s">
        <v>775</v>
      </c>
      <c r="BI29" s="56" t="s">
        <v>774</v>
      </c>
    </row>
    <row r="30" spans="1:62" x14ac:dyDescent="0.3">
      <c r="A30" s="2" t="s">
        <v>68</v>
      </c>
      <c r="B30" s="56">
        <v>3</v>
      </c>
      <c r="C30" s="56">
        <v>3</v>
      </c>
      <c r="D30" s="56">
        <v>4</v>
      </c>
      <c r="E30" s="56">
        <v>3</v>
      </c>
      <c r="F30" s="56">
        <v>4</v>
      </c>
      <c r="G30" s="56">
        <v>6</v>
      </c>
      <c r="H30" s="56">
        <v>3</v>
      </c>
      <c r="I30" s="56">
        <v>6</v>
      </c>
      <c r="J30" s="56">
        <v>4</v>
      </c>
      <c r="K30" s="56">
        <v>5</v>
      </c>
      <c r="L30" s="56">
        <v>6</v>
      </c>
      <c r="M30" s="56">
        <v>4</v>
      </c>
      <c r="N30" s="56">
        <v>6</v>
      </c>
      <c r="O30" s="56">
        <v>5</v>
      </c>
      <c r="P30" s="56">
        <v>4</v>
      </c>
      <c r="Q30" s="56">
        <v>4</v>
      </c>
      <c r="R30" s="56">
        <v>3</v>
      </c>
      <c r="S30" s="56">
        <v>6</v>
      </c>
      <c r="T30" s="56">
        <v>3</v>
      </c>
      <c r="U30" s="56">
        <v>6</v>
      </c>
      <c r="V30" s="56">
        <v>6</v>
      </c>
      <c r="W30" s="56">
        <v>5</v>
      </c>
      <c r="X30" s="56">
        <v>4</v>
      </c>
      <c r="Y30" s="56">
        <v>6</v>
      </c>
      <c r="Z30" s="56">
        <v>6</v>
      </c>
      <c r="AA30" s="56">
        <v>4</v>
      </c>
      <c r="AB30" s="56">
        <v>5</v>
      </c>
      <c r="AC30" s="56">
        <v>3</v>
      </c>
      <c r="AD30" s="56">
        <v>7</v>
      </c>
      <c r="AE30" s="56">
        <v>3</v>
      </c>
      <c r="AF30" s="56">
        <v>5</v>
      </c>
      <c r="AG30" s="56">
        <v>4</v>
      </c>
      <c r="AH30" s="56">
        <v>3</v>
      </c>
      <c r="AI30" s="56">
        <v>3</v>
      </c>
      <c r="AJ30" s="56">
        <v>6</v>
      </c>
      <c r="AK30" s="56">
        <v>4</v>
      </c>
      <c r="AL30" s="56">
        <v>4</v>
      </c>
      <c r="AM30" s="56">
        <v>3</v>
      </c>
      <c r="AN30" s="56">
        <v>4</v>
      </c>
      <c r="AO30" s="56">
        <v>6</v>
      </c>
      <c r="AP30" s="56">
        <v>5</v>
      </c>
      <c r="AQ30" s="56">
        <v>6</v>
      </c>
      <c r="AR30" s="56">
        <v>6</v>
      </c>
      <c r="AS30" s="56">
        <v>4</v>
      </c>
      <c r="AT30" s="56">
        <v>5</v>
      </c>
      <c r="AU30" s="56">
        <v>7</v>
      </c>
      <c r="AV30" s="56">
        <v>6</v>
      </c>
      <c r="AW30" s="56">
        <v>7</v>
      </c>
      <c r="AX30" s="56">
        <v>6</v>
      </c>
      <c r="AY30" s="56">
        <v>6</v>
      </c>
      <c r="AZ30" s="56">
        <v>3</v>
      </c>
      <c r="BA30" s="56">
        <v>4</v>
      </c>
      <c r="BB30" s="56">
        <v>4</v>
      </c>
      <c r="BC30" s="56">
        <v>4</v>
      </c>
      <c r="BD30" s="56">
        <v>6</v>
      </c>
      <c r="BE30" s="56">
        <v>4</v>
      </c>
      <c r="BF30" s="56">
        <v>3</v>
      </c>
      <c r="BG30" s="56">
        <v>7</v>
      </c>
      <c r="BH30" s="56">
        <v>5</v>
      </c>
      <c r="BI30" s="56">
        <v>3</v>
      </c>
      <c r="BJ30" s="2" t="s">
        <v>76</v>
      </c>
    </row>
    <row r="31" spans="1:62" x14ac:dyDescent="0.3">
      <c r="A31" s="8" t="s">
        <v>92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</row>
    <row r="32" spans="1:62" x14ac:dyDescent="0.3">
      <c r="A32" s="2" t="s">
        <v>29</v>
      </c>
      <c r="B32" s="18">
        <f>VLOOKUP(B10,'Reference Data sheet'!$B$216:$C$222,2,FALSE)</f>
        <v>0.93</v>
      </c>
      <c r="C32" s="18">
        <f>VLOOKUP(C10,'Reference Data sheet'!$B$216:$C$222,2,FALSE)</f>
        <v>0.93</v>
      </c>
      <c r="D32" s="18">
        <f>VLOOKUP(D10,'Reference Data sheet'!$B$216:$C$222,2,FALSE)</f>
        <v>0.93</v>
      </c>
      <c r="E32" s="18">
        <f>VLOOKUP(E10,'Reference Data sheet'!$B$216:$C$222,2,FALSE)</f>
        <v>0.93</v>
      </c>
      <c r="F32" s="18">
        <f>VLOOKUP(F10,'Reference Data sheet'!$B$216:$C$222,2,FALSE)</f>
        <v>0.93</v>
      </c>
      <c r="G32" s="18">
        <f>VLOOKUP(G10,'Reference Data sheet'!$B$216:$C$222,2,FALSE)</f>
        <v>0.93</v>
      </c>
      <c r="H32" s="18">
        <f>VLOOKUP(H10,'Reference Data sheet'!$B$216:$C$222,2,FALSE)</f>
        <v>0.93</v>
      </c>
      <c r="I32" s="18">
        <f>VLOOKUP(I10,'Reference Data sheet'!$B$216:$C$222,2,FALSE)</f>
        <v>0.93</v>
      </c>
      <c r="J32" s="18">
        <f>VLOOKUP(J10,'Reference Data sheet'!$B$216:$C$222,2,FALSE)</f>
        <v>0.93</v>
      </c>
      <c r="K32" s="18">
        <f>VLOOKUP(K10,'Reference Data sheet'!$B$216:$C$222,2,FALSE)</f>
        <v>0.93</v>
      </c>
      <c r="L32" s="18">
        <f>VLOOKUP(L10,'Reference Data sheet'!$B$216:$C$222,2,FALSE)</f>
        <v>0.93</v>
      </c>
      <c r="M32" s="18">
        <f>VLOOKUP(M10,'Reference Data sheet'!$B$216:$C$222,2,FALSE)</f>
        <v>0.93</v>
      </c>
      <c r="N32" s="18">
        <f>VLOOKUP(N10,'Reference Data sheet'!$B$216:$C$222,2,FALSE)</f>
        <v>0.93</v>
      </c>
      <c r="O32" s="18">
        <f>VLOOKUP(O10,'Reference Data sheet'!$B$216:$C$222,2,FALSE)</f>
        <v>0.93</v>
      </c>
      <c r="P32" s="18">
        <f>VLOOKUP(P10,'Reference Data sheet'!$B$216:$C$222,2,FALSE)</f>
        <v>0.93</v>
      </c>
      <c r="Q32" s="18">
        <f>VLOOKUP(Q10,'Reference Data sheet'!$B$216:$C$222,2,FALSE)</f>
        <v>0.93</v>
      </c>
      <c r="R32" s="18">
        <f>VLOOKUP(R10,'Reference Data sheet'!$B$216:$C$222,2,FALSE)</f>
        <v>0.93</v>
      </c>
      <c r="S32" s="18">
        <f>VLOOKUP(S10,'Reference Data sheet'!$B$216:$C$222,2,FALSE)</f>
        <v>0.93</v>
      </c>
      <c r="T32" s="18">
        <f>VLOOKUP(T10,'Reference Data sheet'!$B$216:$C$222,2,FALSE)</f>
        <v>0.93</v>
      </c>
      <c r="U32" s="18">
        <f>VLOOKUP(U10,'Reference Data sheet'!$B$216:$C$222,2,FALSE)</f>
        <v>0.93</v>
      </c>
      <c r="V32" s="18">
        <f>VLOOKUP(V10,'Reference Data sheet'!$B$216:$C$222,2,FALSE)</f>
        <v>0.93</v>
      </c>
      <c r="W32" s="18">
        <f>VLOOKUP(W10,'Reference Data sheet'!$B$216:$C$222,2,FALSE)</f>
        <v>0.93</v>
      </c>
      <c r="X32" s="18">
        <f>VLOOKUP(X10,'Reference Data sheet'!$B$216:$C$222,2,FALSE)</f>
        <v>1</v>
      </c>
      <c r="Y32" s="18">
        <f>VLOOKUP(Y10,'Reference Data sheet'!$B$216:$C$222,2,FALSE)</f>
        <v>0.93</v>
      </c>
      <c r="Z32" s="18">
        <f>VLOOKUP(Z10,'Reference Data sheet'!$B$216:$C$222,2,FALSE)</f>
        <v>0.93</v>
      </c>
      <c r="AA32" s="18">
        <f>VLOOKUP(AA10,'Reference Data sheet'!$B$216:$C$222,2,FALSE)</f>
        <v>1.17</v>
      </c>
      <c r="AB32" s="18">
        <f>VLOOKUP(AB10,'Reference Data sheet'!$B$216:$C$222,2,FALSE)</f>
        <v>0.93</v>
      </c>
      <c r="AC32" s="18">
        <f>VLOOKUP(AC10,'Reference Data sheet'!$B$216:$C$222,2,FALSE)</f>
        <v>1.17</v>
      </c>
      <c r="AD32" s="18">
        <f>VLOOKUP(AD10,'Reference Data sheet'!$B$216:$C$222,2,FALSE)</f>
        <v>1.17</v>
      </c>
      <c r="AE32" s="18">
        <f>VLOOKUP(AE10,'Reference Data sheet'!$B$216:$C$222,2,FALSE)</f>
        <v>0.93</v>
      </c>
      <c r="AF32" s="18">
        <f>VLOOKUP(AF10,'Reference Data sheet'!$B$216:$C$222,2,FALSE)</f>
        <v>1</v>
      </c>
      <c r="AG32" s="18">
        <f>VLOOKUP(AG10,'Reference Data sheet'!$B$216:$C$222,2,FALSE)</f>
        <v>1</v>
      </c>
      <c r="AH32" s="18">
        <f>VLOOKUP(AH10,'Reference Data sheet'!$B$216:$C$222,2,FALSE)</f>
        <v>1</v>
      </c>
      <c r="AI32" s="18">
        <f>VLOOKUP(AI10,'Reference Data sheet'!$B$216:$C$222,2,FALSE)</f>
        <v>1</v>
      </c>
      <c r="AJ32" s="18">
        <f>VLOOKUP(AJ10,'Reference Data sheet'!$B$216:$C$222,2,FALSE)</f>
        <v>0.93</v>
      </c>
      <c r="AK32" s="18">
        <f>VLOOKUP(AK10,'Reference Data sheet'!$B$216:$C$222,2,FALSE)</f>
        <v>1</v>
      </c>
      <c r="AL32" s="18">
        <f>VLOOKUP(AL10,'Reference Data sheet'!$B$216:$C$222,2,FALSE)</f>
        <v>1</v>
      </c>
      <c r="AM32" s="18">
        <f>VLOOKUP(AM10,'Reference Data sheet'!$B$216:$C$222,2,FALSE)</f>
        <v>1</v>
      </c>
      <c r="AN32" s="18">
        <f>VLOOKUP(AN10,'Reference Data sheet'!$B$216:$C$222,2,FALSE)</f>
        <v>1</v>
      </c>
      <c r="AO32" s="18">
        <f>VLOOKUP(AO10,'Reference Data sheet'!$B$216:$C$222,2,FALSE)</f>
        <v>1</v>
      </c>
      <c r="AP32" s="18">
        <f>VLOOKUP(AP10,'Reference Data sheet'!$B$216:$C$222,2,FALSE)</f>
        <v>1</v>
      </c>
      <c r="AQ32" s="18">
        <f>VLOOKUP(AQ10,'Reference Data sheet'!$B$216:$C$222,2,FALSE)</f>
        <v>1</v>
      </c>
      <c r="AR32" s="18">
        <f>VLOOKUP(AR10,'Reference Data sheet'!$B$216:$C$222,2,FALSE)</f>
        <v>1</v>
      </c>
      <c r="AS32" s="18">
        <f>VLOOKUP(AS10,'Reference Data sheet'!$B$216:$C$222,2,FALSE)</f>
        <v>1</v>
      </c>
      <c r="AT32" s="18">
        <f>VLOOKUP(AT10,'Reference Data sheet'!$B$216:$C$222,2,FALSE)</f>
        <v>1</v>
      </c>
      <c r="AU32" s="18">
        <f>VLOOKUP(AU10,'Reference Data sheet'!$B$216:$C$222,2,FALSE)</f>
        <v>1.17</v>
      </c>
      <c r="AV32" s="18">
        <f>VLOOKUP(AV10,'Reference Data sheet'!$B$216:$C$222,2,FALSE)</f>
        <v>1.17</v>
      </c>
      <c r="AW32" s="18">
        <f>VLOOKUP(AW10,'Reference Data sheet'!$B$216:$C$222,2,FALSE)</f>
        <v>0.93</v>
      </c>
      <c r="AX32" s="18">
        <f>VLOOKUP(AX10,'Reference Data sheet'!$B$216:$C$222,2,FALSE)</f>
        <v>1</v>
      </c>
      <c r="AY32" s="18">
        <f>VLOOKUP(AY10,'Reference Data sheet'!$B$216:$C$222,2,FALSE)</f>
        <v>1.17</v>
      </c>
      <c r="AZ32" s="18">
        <f>VLOOKUP(AZ10,'Reference Data sheet'!$B$216:$C$222,2,FALSE)</f>
        <v>0.93</v>
      </c>
      <c r="BA32" s="18">
        <f>VLOOKUP(BA10,'Reference Data sheet'!$B$216:$C$222,2,FALSE)</f>
        <v>0.93</v>
      </c>
      <c r="BB32" s="18">
        <f>VLOOKUP(BB10,'Reference Data sheet'!$B$216:$C$222,2,FALSE)</f>
        <v>1</v>
      </c>
      <c r="BC32" s="18">
        <f>VLOOKUP(BC10,'Reference Data sheet'!$B$216:$C$222,2,FALSE)</f>
        <v>1</v>
      </c>
      <c r="BD32" s="18">
        <f>VLOOKUP(BD10,'Reference Data sheet'!$B$216:$C$222,2,FALSE)</f>
        <v>1.17</v>
      </c>
      <c r="BE32" s="18">
        <f>VLOOKUP(BE10,'Reference Data sheet'!$B$216:$C$222,2,FALSE)</f>
        <v>1</v>
      </c>
      <c r="BF32" s="18">
        <f>VLOOKUP(BF10,'Reference Data sheet'!$B$216:$C$222,2,FALSE)</f>
        <v>1.17</v>
      </c>
      <c r="BG32" s="18">
        <f>VLOOKUP(BG10,'Reference Data sheet'!$B$216:$C$222,2,FALSE)</f>
        <v>1</v>
      </c>
      <c r="BH32" s="18">
        <f>VLOOKUP(BH10,'Reference Data sheet'!$B$216:$C$222,2,FALSE)</f>
        <v>1</v>
      </c>
      <c r="BI32" s="18">
        <f>VLOOKUP(BI10,'Reference Data sheet'!$B$216:$C$222,2,FALSE)</f>
        <v>1.04</v>
      </c>
      <c r="BJ32" s="2" t="s">
        <v>77</v>
      </c>
    </row>
    <row r="33" spans="1:62" x14ac:dyDescent="0.3">
      <c r="A33" s="2" t="s">
        <v>30</v>
      </c>
      <c r="B33" s="19">
        <f t="shared" ref="B33:G33" si="0">AVERAGE(B12:B14)*B32</f>
        <v>320744600000.00006</v>
      </c>
      <c r="C33" s="19">
        <f t="shared" ref="C33" si="1">AVERAGE(C12:C14)*C32</f>
        <v>179264630000</v>
      </c>
      <c r="D33" s="19">
        <f t="shared" ref="D33" si="2">AVERAGE(D12:D14)*D32</f>
        <v>483162900000</v>
      </c>
      <c r="E33" s="19">
        <f t="shared" ref="E33" si="3">AVERAGE(E12:E14)*E32</f>
        <v>262838770000</v>
      </c>
      <c r="F33" s="19">
        <f t="shared" ref="F33" si="4">AVERAGE(F12:F14)*F32</f>
        <v>114526400000.00002</v>
      </c>
      <c r="G33" s="19">
        <f t="shared" ref="G33" si="5">AVERAGE(G12:G14)*G32</f>
        <v>71937980000.000015</v>
      </c>
      <c r="H33" s="19">
        <f t="shared" ref="H33" si="6">AVERAGE(H12:H14)*H32</f>
        <v>30879720000</v>
      </c>
      <c r="I33" s="19">
        <f t="shared" ref="I33" si="7">AVERAGE(I12:I14)*I32</f>
        <v>60854860000.000008</v>
      </c>
      <c r="J33" s="19">
        <f t="shared" ref="J33" si="8">AVERAGE(J12:J14)*J32</f>
        <v>79774470000</v>
      </c>
      <c r="K33" s="19">
        <f t="shared" ref="K33" si="9">AVERAGE(K12:K14)*K32</f>
        <v>44164150000.000008</v>
      </c>
      <c r="L33" s="19">
        <f t="shared" ref="L33" si="10">AVERAGE(L12:L14)*L32</f>
        <v>30158970000</v>
      </c>
      <c r="M33" s="19">
        <f t="shared" ref="M33" si="11">AVERAGE(M12:M14)*M32</f>
        <v>206203630000.00003</v>
      </c>
      <c r="N33" s="19">
        <f t="shared" ref="N33" si="12">AVERAGE(N12:N14)*N32</f>
        <v>55719400000.000008</v>
      </c>
      <c r="O33" s="19">
        <f t="shared" ref="O33" si="13">AVERAGE(O12:O14)*O32</f>
        <v>41168000000</v>
      </c>
      <c r="P33" s="19">
        <f t="shared" ref="P33" si="14">AVERAGE(P12:P14)*P32</f>
        <v>35402000000</v>
      </c>
      <c r="Q33" s="19">
        <f t="shared" ref="Q33" si="15">AVERAGE(Q12:Q14)*Q32</f>
        <v>19437000000</v>
      </c>
      <c r="R33" s="19">
        <f t="shared" ref="R33" si="16">AVERAGE(R12:R14)*R32</f>
        <v>6854720000.000001</v>
      </c>
      <c r="S33" s="19">
        <f t="shared" ref="S33" si="17">AVERAGE(S12:S14)*S32</f>
        <v>25624600000</v>
      </c>
      <c r="T33" s="19">
        <f t="shared" ref="T33" si="18">AVERAGE(T12:T14)*T32</f>
        <v>16304760000</v>
      </c>
      <c r="U33" s="19">
        <f t="shared" ref="U33" si="19">AVERAGE(U12:U14)*U32</f>
        <v>141230110000.00003</v>
      </c>
      <c r="V33" s="19">
        <f t="shared" ref="V33" si="20">AVERAGE(V12:V14)*V32</f>
        <v>95692660000</v>
      </c>
      <c r="W33" s="19">
        <f t="shared" ref="W33" si="21">AVERAGE(W12:W14)*W32</f>
        <v>86702660000.000015</v>
      </c>
      <c r="X33" s="19">
        <f t="shared" ref="X33" si="22">AVERAGE(X12:X14)*X32</f>
        <v>57373666666.666664</v>
      </c>
      <c r="Y33" s="19">
        <f t="shared" ref="Y33" si="23">AVERAGE(Y12:Y14)*Y32</f>
        <v>207815010000</v>
      </c>
      <c r="Z33" s="19">
        <f t="shared" ref="Z33" si="24">AVERAGE(Z12:Z14)*Z32</f>
        <v>300975280000</v>
      </c>
      <c r="AA33" s="19">
        <f t="shared" ref="AA33" si="25">AVERAGE(AA12:AA14)*AA32</f>
        <v>18103020000</v>
      </c>
      <c r="AB33" s="19">
        <f t="shared" ref="AB33" si="26">AVERAGE(AB12:AB14)*AB32</f>
        <v>56420000000</v>
      </c>
      <c r="AC33" s="19">
        <f t="shared" ref="AC33" si="27">AVERAGE(AC12:AC14)*AC32</f>
        <v>9748829999.9999981</v>
      </c>
      <c r="AD33" s="19">
        <f t="shared" ref="AD33" si="28">AVERAGE(AD12:AD14)*AD32</f>
        <v>2976870000</v>
      </c>
      <c r="AE33" s="19">
        <f t="shared" ref="AE33" si="29">AVERAGE(AE12:AE14)*AE32</f>
        <v>40567220000</v>
      </c>
      <c r="AF33" s="19">
        <f t="shared" ref="AF33" si="30">AVERAGE(AF12:AF14)*AF32</f>
        <v>70678000000</v>
      </c>
      <c r="AG33" s="19">
        <f t="shared" ref="AG33" si="31">AVERAGE(AG12:AG14)*AG32</f>
        <v>29972333333.333332</v>
      </c>
      <c r="AH33" s="19">
        <f t="shared" ref="AH33" si="32">AVERAGE(AH12:AH14)*AH32</f>
        <v>20903666666.666668</v>
      </c>
      <c r="AI33" s="19">
        <f t="shared" ref="AI33" si="33">AVERAGE(AI12:AI14)*AI32</f>
        <v>76517333333.333328</v>
      </c>
      <c r="AJ33" s="19">
        <f t="shared" ref="AJ33" si="34">AVERAGE(AJ12:AJ14)*AJ32</f>
        <v>218948350000.00003</v>
      </c>
      <c r="AK33" s="19">
        <f t="shared" ref="AK33" si="35">AVERAGE(AK12:AK14)*AK32</f>
        <v>33766666666.666668</v>
      </c>
      <c r="AL33" s="19">
        <f t="shared" ref="AL33" si="36">AVERAGE(AL12:AL14)*AL32</f>
        <v>98433333333.333328</v>
      </c>
      <c r="AM33" s="19">
        <f t="shared" ref="AM33" si="37">AVERAGE(AM12:AM14)*AM32</f>
        <v>42090000000</v>
      </c>
      <c r="AN33" s="19">
        <f t="shared" ref="AN33" si="38">AVERAGE(AN12:AN14)*AN32</f>
        <v>154300000000</v>
      </c>
      <c r="AO33" s="19">
        <f t="shared" ref="AO33" si="39">AVERAGE(AO12:AO14)*AO32</f>
        <v>78266666666.666672</v>
      </c>
      <c r="AP33" s="19">
        <f t="shared" ref="AP33" si="40">AVERAGE(AP12:AP14)*AP32</f>
        <v>136449000000</v>
      </c>
      <c r="AQ33" s="19">
        <f t="shared" ref="AQ33" si="41">AVERAGE(AQ12:AQ14)*AQ32</f>
        <v>283905333333.33331</v>
      </c>
      <c r="AR33" s="19">
        <f t="shared" ref="AR33" si="42">AVERAGE(AR12:AR14)*AR32</f>
        <v>21260666666.666668</v>
      </c>
      <c r="AS33" s="19">
        <f t="shared" ref="AS33" si="43">AVERAGE(AS12:AS14)*AS32</f>
        <v>13866666666.666666</v>
      </c>
      <c r="AT33" s="19">
        <f t="shared" ref="AT33" si="44">AVERAGE(AT12:AT14)*AT32</f>
        <v>24800000000</v>
      </c>
      <c r="AU33" s="19">
        <f t="shared" ref="AU33" si="45">AVERAGE(AU12:AU14)*AU32</f>
        <v>28158000000</v>
      </c>
      <c r="AV33" s="19">
        <f t="shared" ref="AV33" si="46">AVERAGE(AV12:AV14)*AV32</f>
        <v>20124000000</v>
      </c>
      <c r="AW33" s="19">
        <f t="shared" ref="AW33" si="47">AVERAGE(AW12:AW14)*AW32</f>
        <v>16461000000</v>
      </c>
      <c r="AX33" s="19">
        <f t="shared" ref="AX33" si="48">AVERAGE(AX12:AX14)*AX32</f>
        <v>45623333333.333336</v>
      </c>
      <c r="AY33" s="19">
        <f t="shared" ref="AY33" si="49">AVERAGE(AY12:AY14)*AY32</f>
        <v>24102000000</v>
      </c>
      <c r="AZ33" s="19">
        <f t="shared" ref="AZ33" si="50">AVERAGE(AZ12:AZ14)*AZ32</f>
        <v>6314700000</v>
      </c>
      <c r="BA33" s="19">
        <f t="shared" ref="BA33" si="51">AVERAGE(BA12:BA14)*BA32</f>
        <v>4758500000.000001</v>
      </c>
      <c r="BB33" s="19">
        <f t="shared" ref="BB33" si="52">AVERAGE(BB12:BB14)*BB32</f>
        <v>26533333333.333332</v>
      </c>
      <c r="BC33" s="19">
        <f t="shared" ref="BC33" si="53">AVERAGE(BC12:BC14)*BC32</f>
        <v>32900000000</v>
      </c>
      <c r="BD33" s="19">
        <f t="shared" ref="BD33" si="54">AVERAGE(BD12:BD14)*BD32</f>
        <v>15755999999.999998</v>
      </c>
      <c r="BE33" s="19">
        <f t="shared" ref="BE33" si="55">AVERAGE(BE12:BE14)*BE32</f>
        <v>58766666666.666664</v>
      </c>
      <c r="BF33" s="19">
        <f t="shared" ref="BF33" si="56">AVERAGE(BF12:BF14)*BF32</f>
        <v>9748829999.9999981</v>
      </c>
      <c r="BG33" s="19">
        <f t="shared" ref="BG33" si="57">AVERAGE(BG12:BG14)*BG32</f>
        <v>29000000000</v>
      </c>
      <c r="BH33" s="19">
        <f t="shared" ref="BH33" si="58">AVERAGE(BH12:BH14)*BH32</f>
        <v>17766666666.666668</v>
      </c>
      <c r="BI33" s="19">
        <f t="shared" ref="BI33" si="59">AVERAGE(BI12:BI14)*BI32</f>
        <v>95333333333.333344</v>
      </c>
      <c r="BJ33" s="2" t="s">
        <v>78</v>
      </c>
    </row>
    <row r="34" spans="1:62" x14ac:dyDescent="0.3">
      <c r="A34" s="2" t="s">
        <v>31</v>
      </c>
      <c r="B34" s="19">
        <f t="shared" ref="B34:G34" si="60">AVERAGE(B15:B17)*B32</f>
        <v>89756780000.000015</v>
      </c>
      <c r="C34" s="19">
        <f t="shared" ref="C34:BI34" si="61">AVERAGE(C15:C17)*C32</f>
        <v>74964820000</v>
      </c>
      <c r="D34" s="19">
        <f t="shared" si="61"/>
        <v>22933490000.000004</v>
      </c>
      <c r="E34" s="19">
        <f t="shared" si="61"/>
        <v>66194610000</v>
      </c>
      <c r="F34" s="19">
        <f t="shared" si="61"/>
        <v>33594080000</v>
      </c>
      <c r="G34" s="19">
        <f t="shared" si="61"/>
        <v>9011700000</v>
      </c>
      <c r="H34" s="19">
        <f t="shared" si="61"/>
        <v>15751720000.000002</v>
      </c>
      <c r="I34" s="19">
        <f t="shared" si="61"/>
        <v>8002030000.000001</v>
      </c>
      <c r="J34" s="19">
        <f t="shared" si="61"/>
        <v>9735240000</v>
      </c>
      <c r="K34" s="19">
        <f t="shared" si="61"/>
        <v>5841020000.000001</v>
      </c>
      <c r="L34" s="19">
        <f t="shared" si="61"/>
        <v>4792910000.000001</v>
      </c>
      <c r="M34" s="19">
        <f t="shared" si="61"/>
        <v>6696000000</v>
      </c>
      <c r="N34" s="19">
        <f t="shared" si="61"/>
        <v>7409000000.000001</v>
      </c>
      <c r="O34" s="19">
        <f t="shared" si="61"/>
        <v>12524000000</v>
      </c>
      <c r="P34" s="19">
        <f t="shared" si="61"/>
        <v>11687000000</v>
      </c>
      <c r="Q34" s="19">
        <f t="shared" si="61"/>
        <v>2325000000</v>
      </c>
      <c r="R34" s="19">
        <f t="shared" si="61"/>
        <v>1116000000</v>
      </c>
      <c r="S34" s="19">
        <f t="shared" si="61"/>
        <v>4030000000</v>
      </c>
      <c r="T34" s="19">
        <f t="shared" si="61"/>
        <v>5084000000.000001</v>
      </c>
      <c r="U34" s="19">
        <f t="shared" si="61"/>
        <v>7657000000</v>
      </c>
      <c r="V34" s="19">
        <f t="shared" si="61"/>
        <v>3999000000</v>
      </c>
      <c r="W34" s="19">
        <f t="shared" si="61"/>
        <v>13175000000</v>
      </c>
      <c r="X34" s="19">
        <f t="shared" si="61"/>
        <v>9714333333.333334</v>
      </c>
      <c r="Y34" s="19">
        <f t="shared" si="61"/>
        <v>20213860000</v>
      </c>
      <c r="Z34" s="19">
        <f t="shared" si="61"/>
        <v>39106810000.000008</v>
      </c>
      <c r="AA34" s="19">
        <f t="shared" si="61"/>
        <v>4720560000</v>
      </c>
      <c r="AB34" s="19">
        <f t="shared" si="61"/>
        <v>17608000000</v>
      </c>
      <c r="AC34" s="19">
        <f t="shared" si="61"/>
        <v>3353999999.9999995</v>
      </c>
      <c r="AD34" s="19">
        <f t="shared" si="61"/>
        <v>-468000000</v>
      </c>
      <c r="AE34" s="19">
        <f t="shared" si="61"/>
        <v>8463000000</v>
      </c>
      <c r="AF34" s="19">
        <f t="shared" si="61"/>
        <v>9316333333.333334</v>
      </c>
      <c r="AG34" s="19">
        <f t="shared" si="61"/>
        <v>7752000000</v>
      </c>
      <c r="AH34" s="19">
        <f t="shared" si="61"/>
        <v>6501666666.666667</v>
      </c>
      <c r="AI34" s="19">
        <f t="shared" si="61"/>
        <v>18797333333.333332</v>
      </c>
      <c r="AJ34" s="19">
        <f t="shared" si="61"/>
        <v>38037000000</v>
      </c>
      <c r="AK34" s="19">
        <f t="shared" si="61"/>
        <v>5500000000</v>
      </c>
      <c r="AL34" s="19">
        <f t="shared" si="61"/>
        <v>7733333333.333333</v>
      </c>
      <c r="AM34" s="19">
        <f t="shared" si="61"/>
        <v>9800000000</v>
      </c>
      <c r="AN34" s="19">
        <f t="shared" si="61"/>
        <v>13466666666.666666</v>
      </c>
      <c r="AO34" s="19">
        <f t="shared" si="61"/>
        <v>5300000000</v>
      </c>
      <c r="AP34" s="19">
        <f t="shared" si="61"/>
        <v>15082000000</v>
      </c>
      <c r="AQ34" s="19">
        <f t="shared" si="61"/>
        <v>21466666666.666668</v>
      </c>
      <c r="AR34" s="19">
        <f t="shared" si="61"/>
        <v>814333333.33333337</v>
      </c>
      <c r="AS34" s="19">
        <f t="shared" si="61"/>
        <v>3166666666.6666665</v>
      </c>
      <c r="AT34" s="19">
        <f t="shared" si="61"/>
        <v>2333333333.3333335</v>
      </c>
      <c r="AU34" s="19">
        <f t="shared" si="61"/>
        <v>6707999999.999999</v>
      </c>
      <c r="AV34" s="19">
        <f t="shared" si="61"/>
        <v>8892000000</v>
      </c>
      <c r="AW34" s="19">
        <f t="shared" si="61"/>
        <v>3193000000.0000005</v>
      </c>
      <c r="AX34" s="19">
        <f t="shared" si="61"/>
        <v>5000000000</v>
      </c>
      <c r="AY34" s="19">
        <f t="shared" si="61"/>
        <v>8619000000</v>
      </c>
      <c r="AZ34" s="19">
        <f t="shared" si="61"/>
        <v>1953000000</v>
      </c>
      <c r="BA34" s="19">
        <f t="shared" si="61"/>
        <v>837000000</v>
      </c>
      <c r="BB34" s="19">
        <f t="shared" si="61"/>
        <v>3000000000</v>
      </c>
      <c r="BC34" s="19">
        <f t="shared" si="61"/>
        <v>3933333333.3333335</v>
      </c>
      <c r="BD34" s="19">
        <f t="shared" si="61"/>
        <v>623999999.99999988</v>
      </c>
      <c r="BE34" s="19">
        <f t="shared" si="61"/>
        <v>5933333333.333333</v>
      </c>
      <c r="BF34" s="19">
        <f t="shared" si="61"/>
        <v>3353999999.9999995</v>
      </c>
      <c r="BG34" s="19">
        <f t="shared" si="61"/>
        <v>-933333333.33333337</v>
      </c>
      <c r="BH34" s="19">
        <f t="shared" si="61"/>
        <v>900000000</v>
      </c>
      <c r="BI34" s="19">
        <f t="shared" si="61"/>
        <v>17680000000</v>
      </c>
      <c r="BJ34" s="2" t="s">
        <v>79</v>
      </c>
    </row>
    <row r="35" spans="1:62" x14ac:dyDescent="0.3">
      <c r="A35" s="2" t="s">
        <v>32</v>
      </c>
      <c r="B35" s="28">
        <f t="shared" ref="B35:G35" si="62">IFERROR(B34/B33,0)</f>
        <v>0.27983878762105424</v>
      </c>
      <c r="C35" s="28">
        <f t="shared" ref="C35:BI35" si="63">IFERROR(C34/C33,0)</f>
        <v>0.41817964871263225</v>
      </c>
      <c r="D35" s="28">
        <f t="shared" si="63"/>
        <v>4.7465337259959328E-2</v>
      </c>
      <c r="E35" s="28">
        <f t="shared" si="63"/>
        <v>0.25184492379111345</v>
      </c>
      <c r="F35" s="28">
        <f t="shared" si="63"/>
        <v>0.29333044608055431</v>
      </c>
      <c r="G35" s="28">
        <f t="shared" si="63"/>
        <v>0.12527040653629692</v>
      </c>
      <c r="H35" s="28">
        <f t="shared" si="63"/>
        <v>0.51009918483716832</v>
      </c>
      <c r="I35" s="28">
        <f t="shared" si="63"/>
        <v>0.1314936884252137</v>
      </c>
      <c r="J35" s="28">
        <f t="shared" si="63"/>
        <v>0.12203453059606664</v>
      </c>
      <c r="K35" s="28">
        <f t="shared" si="63"/>
        <v>0.13225704559014495</v>
      </c>
      <c r="L35" s="28">
        <f t="shared" si="63"/>
        <v>0.15892154141868906</v>
      </c>
      <c r="M35" s="28">
        <f t="shared" si="63"/>
        <v>3.2472755208043616E-2</v>
      </c>
      <c r="N35" s="28">
        <f t="shared" si="63"/>
        <v>0.13296984533214642</v>
      </c>
      <c r="O35" s="28">
        <f t="shared" si="63"/>
        <v>0.30421686746987953</v>
      </c>
      <c r="P35" s="28">
        <f t="shared" si="63"/>
        <v>0.33012259194395799</v>
      </c>
      <c r="Q35" s="28">
        <f t="shared" si="63"/>
        <v>0.11961722488038277</v>
      </c>
      <c r="R35" s="28">
        <f t="shared" si="63"/>
        <v>0.16280752532561502</v>
      </c>
      <c r="S35" s="28">
        <f t="shared" si="63"/>
        <v>0.15727074764093879</v>
      </c>
      <c r="T35" s="28">
        <f t="shared" si="63"/>
        <v>0.31181078409004492</v>
      </c>
      <c r="U35" s="28">
        <f t="shared" si="63"/>
        <v>5.4216484006137204E-2</v>
      </c>
      <c r="V35" s="28">
        <f t="shared" si="63"/>
        <v>4.1790039068827223E-2</v>
      </c>
      <c r="W35" s="28">
        <f t="shared" si="63"/>
        <v>0.15195612222277838</v>
      </c>
      <c r="X35" s="28">
        <f t="shared" si="63"/>
        <v>0.16931693401734829</v>
      </c>
      <c r="Y35" s="28">
        <f t="shared" si="63"/>
        <v>9.7268527427349927E-2</v>
      </c>
      <c r="Z35" s="28">
        <f t="shared" si="63"/>
        <v>0.12993362777168946</v>
      </c>
      <c r="AA35" s="28">
        <f t="shared" si="63"/>
        <v>0.26076091171528287</v>
      </c>
      <c r="AB35" s="28">
        <f t="shared" si="63"/>
        <v>0.31208791208791209</v>
      </c>
      <c r="AC35" s="28">
        <f t="shared" si="63"/>
        <v>0.3440412849541945</v>
      </c>
      <c r="AD35" s="28">
        <f t="shared" si="63"/>
        <v>-0.15721210533211058</v>
      </c>
      <c r="AE35" s="28">
        <f t="shared" si="63"/>
        <v>0.2086167107334444</v>
      </c>
      <c r="AF35" s="28">
        <f t="shared" si="63"/>
        <v>0.13181376571681902</v>
      </c>
      <c r="AG35" s="28">
        <f t="shared" si="63"/>
        <v>0.25863852219268885</v>
      </c>
      <c r="AH35" s="28">
        <f t="shared" si="63"/>
        <v>0.31102996284543383</v>
      </c>
      <c r="AI35" s="28">
        <f t="shared" si="63"/>
        <v>0.24566111382170489</v>
      </c>
      <c r="AJ35" s="28">
        <f t="shared" si="63"/>
        <v>0.17372590384901276</v>
      </c>
      <c r="AK35" s="28">
        <f t="shared" si="63"/>
        <v>0.16288252714708784</v>
      </c>
      <c r="AL35" s="28">
        <f t="shared" si="63"/>
        <v>7.856417202844565E-2</v>
      </c>
      <c r="AM35" s="28">
        <f t="shared" si="63"/>
        <v>0.23283440247089571</v>
      </c>
      <c r="AN35" s="28">
        <f t="shared" si="63"/>
        <v>8.7275869518254473E-2</v>
      </c>
      <c r="AO35" s="28">
        <f t="shared" si="63"/>
        <v>6.7717206132879043E-2</v>
      </c>
      <c r="AP35" s="28">
        <f t="shared" si="63"/>
        <v>0.11053214021355964</v>
      </c>
      <c r="AQ35" s="28">
        <f t="shared" si="63"/>
        <v>7.5612058479587102E-2</v>
      </c>
      <c r="AR35" s="28">
        <f t="shared" si="63"/>
        <v>3.8302342353642091E-2</v>
      </c>
      <c r="AS35" s="28">
        <f t="shared" si="63"/>
        <v>0.22836538461538461</v>
      </c>
      <c r="AT35" s="28">
        <f t="shared" si="63"/>
        <v>9.4086021505376344E-2</v>
      </c>
      <c r="AU35" s="28">
        <f t="shared" si="63"/>
        <v>0.23822714681440441</v>
      </c>
      <c r="AV35" s="28">
        <f t="shared" si="63"/>
        <v>0.44186046511627908</v>
      </c>
      <c r="AW35" s="28">
        <f t="shared" si="63"/>
        <v>0.19397363465160078</v>
      </c>
      <c r="AX35" s="28">
        <f t="shared" si="63"/>
        <v>0.10959304449477605</v>
      </c>
      <c r="AY35" s="28">
        <f t="shared" si="63"/>
        <v>0.35760517799352753</v>
      </c>
      <c r="AZ35" s="28">
        <f t="shared" si="63"/>
        <v>0.30927835051546393</v>
      </c>
      <c r="BA35" s="28">
        <f t="shared" si="63"/>
        <v>0.17589576547231267</v>
      </c>
      <c r="BB35" s="28">
        <f t="shared" si="63"/>
        <v>0.11306532663316583</v>
      </c>
      <c r="BC35" s="28">
        <f t="shared" si="63"/>
        <v>0.11955420466058764</v>
      </c>
      <c r="BD35" s="28">
        <f t="shared" si="63"/>
        <v>3.9603960396039604E-2</v>
      </c>
      <c r="BE35" s="28">
        <f t="shared" si="63"/>
        <v>0.10096426545660805</v>
      </c>
      <c r="BF35" s="28">
        <f t="shared" si="63"/>
        <v>0.3440412849541945</v>
      </c>
      <c r="BG35" s="28">
        <f t="shared" si="63"/>
        <v>-3.2183908045977011E-2</v>
      </c>
      <c r="BH35" s="28">
        <f t="shared" si="63"/>
        <v>5.0656660412757973E-2</v>
      </c>
      <c r="BI35" s="28">
        <f t="shared" si="63"/>
        <v>0.18545454545454543</v>
      </c>
    </row>
    <row r="36" spans="1:62" x14ac:dyDescent="0.3">
      <c r="A36" s="2" t="s">
        <v>33</v>
      </c>
      <c r="B36" s="28">
        <f t="shared" ref="B36:G36" si="64">IFERROR(POWER(B17/B15,0.5)-1,0)</f>
        <v>-0.23846048513578333</v>
      </c>
      <c r="C36" s="28">
        <f t="shared" ref="C36:BI36" si="65">IFERROR(POWER(C17/C15,0.5)-1,0)</f>
        <v>-0.11128967649268284</v>
      </c>
      <c r="D36" s="28">
        <f t="shared" si="65"/>
        <v>-0.17835176095832439</v>
      </c>
      <c r="E36" s="28">
        <f t="shared" si="65"/>
        <v>-0.19668157667968</v>
      </c>
      <c r="F36" s="28">
        <f t="shared" si="65"/>
        <v>-0.16405737218370875</v>
      </c>
      <c r="G36" s="28">
        <f t="shared" si="65"/>
        <v>-0.14345855034508515</v>
      </c>
      <c r="H36" s="28">
        <f t="shared" si="65"/>
        <v>-0.64207724535948019</v>
      </c>
      <c r="I36" s="28">
        <f t="shared" si="65"/>
        <v>2.5363716109334598</v>
      </c>
      <c r="J36" s="28">
        <f t="shared" si="65"/>
        <v>-7.8198766477125092E-2</v>
      </c>
      <c r="K36" s="28">
        <f t="shared" si="65"/>
        <v>-7.4768238948104027E-2</v>
      </c>
      <c r="L36" s="28">
        <f t="shared" si="65"/>
        <v>-8.1233998876416802E-2</v>
      </c>
      <c r="M36" s="28">
        <f t="shared" si="65"/>
        <v>-0.13219448045481619</v>
      </c>
      <c r="N36" s="28">
        <f t="shared" si="65"/>
        <v>-0.16398281645483159</v>
      </c>
      <c r="O36" s="28">
        <f t="shared" si="65"/>
        <v>-9.0787886867609635E-2</v>
      </c>
      <c r="P36" s="28">
        <f t="shared" si="65"/>
        <v>-6.9050663748737251E-2</v>
      </c>
      <c r="Q36" s="28">
        <f t="shared" si="65"/>
        <v>0.33630620956212187</v>
      </c>
      <c r="R36" s="28">
        <f t="shared" si="65"/>
        <v>-0.35831105208025216</v>
      </c>
      <c r="S36" s="28">
        <f t="shared" si="65"/>
        <v>-0.12822021129186534</v>
      </c>
      <c r="T36" s="28">
        <f t="shared" si="65"/>
        <v>-0.24008895998781909</v>
      </c>
      <c r="U36" s="28">
        <f t="shared" si="65"/>
        <v>-9.7329066151560006E-2</v>
      </c>
      <c r="V36" s="28">
        <f t="shared" si="65"/>
        <v>-2.4695169603307088E-2</v>
      </c>
      <c r="W36" s="28">
        <f t="shared" si="65"/>
        <v>2.5786920354392784E-2</v>
      </c>
      <c r="X36" s="28">
        <f t="shared" si="65"/>
        <v>-9.8295006432349563E-2</v>
      </c>
      <c r="Y36" s="28">
        <f t="shared" si="65"/>
        <v>-0.3066237290920566</v>
      </c>
      <c r="Z36" s="28">
        <f t="shared" si="65"/>
        <v>-0.32930453470864396</v>
      </c>
      <c r="AA36" s="28">
        <f t="shared" si="65"/>
        <v>-7.6706836738842599E-2</v>
      </c>
      <c r="AB36" s="28">
        <f t="shared" si="65"/>
        <v>-0.2629722688099112</v>
      </c>
      <c r="AC36" s="28">
        <f t="shared" si="65"/>
        <v>-0.11611652351681556</v>
      </c>
      <c r="AD36" s="28">
        <f t="shared" si="65"/>
        <v>-0.2254033307585166</v>
      </c>
      <c r="AE36" s="28">
        <f t="shared" si="65"/>
        <v>-7.0170266482441734E-2</v>
      </c>
      <c r="AF36" s="28">
        <f t="shared" si="65"/>
        <v>-0.23057323684469544</v>
      </c>
      <c r="AG36" s="28">
        <f t="shared" si="65"/>
        <v>-0.11844781646930669</v>
      </c>
      <c r="AH36" s="28">
        <f t="shared" si="65"/>
        <v>-0.24651708261455485</v>
      </c>
      <c r="AI36" s="28">
        <f t="shared" si="65"/>
        <v>-0.21531186972046257</v>
      </c>
      <c r="AJ36" s="28">
        <f t="shared" si="65"/>
        <v>-8.508835466079423E-2</v>
      </c>
      <c r="AK36" s="28">
        <f t="shared" si="65"/>
        <v>-0.1201173098718803</v>
      </c>
      <c r="AL36" s="28">
        <f t="shared" si="65"/>
        <v>-0.13235434147110214</v>
      </c>
      <c r="AM36" s="28">
        <f t="shared" si="65"/>
        <v>-5.9460056874039768E-2</v>
      </c>
      <c r="AN36" s="28">
        <f t="shared" si="65"/>
        <v>-8.5267966081021607E-2</v>
      </c>
      <c r="AO36" s="28">
        <f t="shared" si="65"/>
        <v>0.75809814598306513</v>
      </c>
      <c r="AP36" s="28">
        <f t="shared" si="65"/>
        <v>-0.16477687855841261</v>
      </c>
      <c r="AQ36" s="28">
        <f t="shared" si="65"/>
        <v>-7.5888372064848553E-2</v>
      </c>
      <c r="AR36" s="28">
        <f t="shared" si="65"/>
        <v>0</v>
      </c>
      <c r="AS36" s="28">
        <f t="shared" si="65"/>
        <v>-0.27543116269052803</v>
      </c>
      <c r="AT36" s="28">
        <f t="shared" si="65"/>
        <v>-4.446691409409087E-2</v>
      </c>
      <c r="AU36" s="28">
        <f t="shared" si="65"/>
        <v>-0.10912919362525209</v>
      </c>
      <c r="AV36" s="28">
        <f t="shared" si="65"/>
        <v>-4.0833695337456066E-2</v>
      </c>
      <c r="AW36" s="28">
        <f t="shared" si="65"/>
        <v>-0.16333997346592444</v>
      </c>
      <c r="AX36" s="28">
        <f t="shared" si="65"/>
        <v>4.0832999733066311E-2</v>
      </c>
      <c r="AY36" s="28">
        <f t="shared" si="65"/>
        <v>6.6445913694332948E-3</v>
      </c>
      <c r="AZ36" s="28">
        <f t="shared" si="65"/>
        <v>-9.1106740853614254E-2</v>
      </c>
      <c r="BA36" s="28">
        <f t="shared" si="65"/>
        <v>-0.10557280900008414</v>
      </c>
      <c r="BB36" s="28">
        <f t="shared" si="65"/>
        <v>-8.1441346456308183E-2</v>
      </c>
      <c r="BC36" s="28">
        <f t="shared" si="65"/>
        <v>-0.14365116142232481</v>
      </c>
      <c r="BD36" s="28">
        <f t="shared" si="65"/>
        <v>0</v>
      </c>
      <c r="BE36" s="28">
        <f t="shared" si="65"/>
        <v>-0.19461273374317078</v>
      </c>
      <c r="BF36" s="28">
        <f t="shared" si="65"/>
        <v>-0.11611652351681556</v>
      </c>
      <c r="BG36" s="28">
        <f t="shared" si="65"/>
        <v>0.93649167310370851</v>
      </c>
      <c r="BH36" s="28">
        <f t="shared" si="65"/>
        <v>-0.29289321881345243</v>
      </c>
      <c r="BI36" s="28">
        <f t="shared" si="65"/>
        <v>-2.8991687544775546E-2</v>
      </c>
    </row>
    <row r="37" spans="1:62" x14ac:dyDescent="0.3">
      <c r="A37" s="2" t="s">
        <v>34</v>
      </c>
      <c r="B37" s="28">
        <f t="shared" ref="B37:G37" si="66">IFERROR(STDEV(B15:B17)/AVERAGE(B15:B17),0)</f>
        <v>0.27262496366303152</v>
      </c>
      <c r="C37" s="28">
        <f t="shared" ref="C37:BI37" si="67">IFERROR(STDEV(C15:C17)/AVERAGE(C15:C17),0)</f>
        <v>0.11920782311441533</v>
      </c>
      <c r="D37" s="28">
        <f t="shared" si="67"/>
        <v>0.49893076498920857</v>
      </c>
      <c r="E37" s="28">
        <f t="shared" si="67"/>
        <v>0.21470064725109797</v>
      </c>
      <c r="F37" s="28">
        <f t="shared" si="67"/>
        <v>0.26002647088075592</v>
      </c>
      <c r="G37" s="28">
        <f t="shared" si="67"/>
        <v>0.37492308352170961</v>
      </c>
      <c r="H37" s="28">
        <f t="shared" si="67"/>
        <v>0.86548259055982801</v>
      </c>
      <c r="I37" s="28">
        <f t="shared" si="67"/>
        <v>1.2610541470754641</v>
      </c>
      <c r="J37" s="28">
        <f t="shared" si="67"/>
        <v>8.737812943807792E-2</v>
      </c>
      <c r="K37" s="28">
        <f t="shared" si="67"/>
        <v>7.9204948699096195E-2</v>
      </c>
      <c r="L37" s="28">
        <f t="shared" si="67"/>
        <v>9.8893652921101707E-2</v>
      </c>
      <c r="M37" s="28">
        <f t="shared" si="67"/>
        <v>0.14095682729294748</v>
      </c>
      <c r="N37" s="28">
        <f t="shared" si="67"/>
        <v>0.17632893310213762</v>
      </c>
      <c r="O37" s="28">
        <f t="shared" si="67"/>
        <v>0.10109196958743633</v>
      </c>
      <c r="P37" s="28">
        <f t="shared" si="67"/>
        <v>0.19883286293803903</v>
      </c>
      <c r="Q37" s="28">
        <f t="shared" si="67"/>
        <v>0.44</v>
      </c>
      <c r="R37" s="28">
        <f t="shared" si="67"/>
        <v>0.41666666666666669</v>
      </c>
      <c r="S37" s="28">
        <f t="shared" si="67"/>
        <v>0.14100232907556406</v>
      </c>
      <c r="T37" s="28">
        <f t="shared" si="67"/>
        <v>0.27762323019102969</v>
      </c>
      <c r="U37" s="28">
        <f t="shared" si="67"/>
        <v>0.20695348856894061</v>
      </c>
      <c r="V37" s="28">
        <f t="shared" si="67"/>
        <v>0.12305820051463212</v>
      </c>
      <c r="W37" s="28">
        <f t="shared" si="67"/>
        <v>5.6617456073016312E-2</v>
      </c>
      <c r="X37" s="28">
        <f t="shared" si="67"/>
        <v>0.10304800018548183</v>
      </c>
      <c r="Y37" s="28">
        <f t="shared" si="67"/>
        <v>0.35068595793768864</v>
      </c>
      <c r="Z37" s="28">
        <f t="shared" si="67"/>
        <v>0.48050379733078685</v>
      </c>
      <c r="AA37" s="28">
        <f t="shared" si="67"/>
        <v>8.0185500594368617E-2</v>
      </c>
      <c r="AB37" s="28">
        <f t="shared" si="67"/>
        <v>0.29361320397573876</v>
      </c>
      <c r="AC37" s="28">
        <f t="shared" si="67"/>
        <v>0.12250760177735742</v>
      </c>
      <c r="AD37" s="28">
        <f t="shared" si="67"/>
        <v>-0.25</v>
      </c>
      <c r="AE37" s="28">
        <f t="shared" si="67"/>
        <v>7.6923076923076927E-2</v>
      </c>
      <c r="AF37" s="28">
        <f t="shared" si="67"/>
        <v>0.25363218618168631</v>
      </c>
      <c r="AG37" s="28">
        <f t="shared" si="67"/>
        <v>0.12540975545899638</v>
      </c>
      <c r="AH37" s="28">
        <f t="shared" si="67"/>
        <v>0.27659243285128593</v>
      </c>
      <c r="AI37" s="28">
        <f t="shared" si="67"/>
        <v>0.23563054066936098</v>
      </c>
      <c r="AJ37" s="28">
        <f t="shared" si="67"/>
        <v>0.31537527593744069</v>
      </c>
      <c r="AK37" s="28">
        <f t="shared" si="67"/>
        <v>0.12727272727272726</v>
      </c>
      <c r="AL37" s="28">
        <f t="shared" si="67"/>
        <v>0.14302293123307777</v>
      </c>
      <c r="AM37" s="28">
        <f t="shared" si="67"/>
        <v>6.1224489795918366E-2</v>
      </c>
      <c r="AN37" s="28">
        <f t="shared" si="67"/>
        <v>8.9211986588812381E-2</v>
      </c>
      <c r="AO37" s="28">
        <f t="shared" si="67"/>
        <v>0.50663100309802078</v>
      </c>
      <c r="AP37" s="28">
        <f t="shared" si="67"/>
        <v>0.19790578634454109</v>
      </c>
      <c r="AQ37" s="28">
        <f t="shared" si="67"/>
        <v>8.7440423759634081E-2</v>
      </c>
      <c r="AR37" s="28">
        <f t="shared" si="67"/>
        <v>1.3632719565186631</v>
      </c>
      <c r="AS37" s="28">
        <f t="shared" si="67"/>
        <v>0.30671162703859939</v>
      </c>
      <c r="AT37" s="28">
        <f t="shared" si="67"/>
        <v>0.10785477764672499</v>
      </c>
      <c r="AU37" s="28">
        <f t="shared" si="67"/>
        <v>0.11613362997347779</v>
      </c>
      <c r="AV37" s="28">
        <f t="shared" si="67"/>
        <v>9.9339926779878282E-2</v>
      </c>
      <c r="AW37" s="28">
        <f t="shared" si="67"/>
        <v>0.17556447883519555</v>
      </c>
      <c r="AX37" s="28">
        <f t="shared" si="67"/>
        <v>0.04</v>
      </c>
      <c r="AY37" s="28">
        <f t="shared" si="67"/>
        <v>4.3636428782773552E-2</v>
      </c>
      <c r="AZ37" s="28">
        <f t="shared" si="67"/>
        <v>9.5238095238095233E-2</v>
      </c>
      <c r="BA37" s="28">
        <f t="shared" si="67"/>
        <v>0.1111111111111111</v>
      </c>
      <c r="BB37" s="28">
        <f t="shared" si="67"/>
        <v>8.819171036881969E-2</v>
      </c>
      <c r="BC37" s="28">
        <f t="shared" si="67"/>
        <v>0.15324696033919566</v>
      </c>
      <c r="BD37" s="28">
        <f t="shared" si="67"/>
        <v>2.8394541729001368</v>
      </c>
      <c r="BE37" s="28">
        <f t="shared" si="67"/>
        <v>0.22443802646559771</v>
      </c>
      <c r="BF37" s="28">
        <f t="shared" si="67"/>
        <v>0.12250760177735742</v>
      </c>
      <c r="BG37" s="28">
        <f t="shared" si="67"/>
        <v>-0.59009684435208232</v>
      </c>
      <c r="BH37" s="28">
        <f t="shared" si="67"/>
        <v>0.33333333333333331</v>
      </c>
      <c r="BI37" s="28">
        <f t="shared" si="67"/>
        <v>2.9411764705882353E-2</v>
      </c>
    </row>
    <row r="38" spans="1:62" x14ac:dyDescent="0.3">
      <c r="A38" s="2" t="s">
        <v>35</v>
      </c>
      <c r="B38" s="28">
        <f t="shared" ref="B38:G38" si="68">IFERROR(POWER(B14/B12,0.5)-1,0)</f>
        <v>-0.16563854648121912</v>
      </c>
      <c r="C38" s="28">
        <f t="shared" ref="C38:BI38" si="69">IFERROR(POWER(C14/C12,0.5)-1,0)</f>
        <v>-0.10939012626413713</v>
      </c>
      <c r="D38" s="28">
        <f t="shared" si="69"/>
        <v>-9.5905220162177951E-2</v>
      </c>
      <c r="E38" s="28">
        <f t="shared" si="69"/>
        <v>-8.4504058027144557E-2</v>
      </c>
      <c r="F38" s="28">
        <f t="shared" si="69"/>
        <v>-6.5022599169821116E-2</v>
      </c>
      <c r="G38" s="28">
        <f t="shared" si="69"/>
        <v>-0.2542266701423721</v>
      </c>
      <c r="H38" s="28">
        <f t="shared" si="69"/>
        <v>-0.56146667144510121</v>
      </c>
      <c r="I38" s="28">
        <f t="shared" si="69"/>
        <v>0.20716798948717852</v>
      </c>
      <c r="J38" s="28">
        <f t="shared" si="69"/>
        <v>-6.7882154858606492E-2</v>
      </c>
      <c r="K38" s="28">
        <f t="shared" si="69"/>
        <v>-6.7479715989729794E-2</v>
      </c>
      <c r="L38" s="28">
        <f t="shared" si="69"/>
        <v>-0.10122943657249805</v>
      </c>
      <c r="M38" s="28">
        <f t="shared" si="69"/>
        <v>-0.10074757845160376</v>
      </c>
      <c r="N38" s="28">
        <f t="shared" si="69"/>
        <v>-3.7143086023287752E-2</v>
      </c>
      <c r="O38" s="28">
        <f t="shared" si="69"/>
        <v>-9.9098647746055368E-2</v>
      </c>
      <c r="P38" s="28">
        <f t="shared" si="69"/>
        <v>-3.9231077169477158E-2</v>
      </c>
      <c r="Q38" s="28">
        <f t="shared" si="69"/>
        <v>-0.15001943530900497</v>
      </c>
      <c r="R38" s="28">
        <f t="shared" si="69"/>
        <v>-0.18930347940066283</v>
      </c>
      <c r="S38" s="28">
        <f t="shared" si="69"/>
        <v>-7.6850409683652976E-2</v>
      </c>
      <c r="T38" s="28">
        <f t="shared" si="69"/>
        <v>-0.18644182661940278</v>
      </c>
      <c r="U38" s="28">
        <f t="shared" si="69"/>
        <v>-0.14030571370084377</v>
      </c>
      <c r="V38" s="28">
        <f t="shared" si="69"/>
        <v>-6.0527110086958325E-2</v>
      </c>
      <c r="W38" s="28">
        <f t="shared" si="69"/>
        <v>5.5604689622153813E-2</v>
      </c>
      <c r="X38" s="28">
        <f t="shared" si="69"/>
        <v>-6.1984097165258878E-2</v>
      </c>
      <c r="Y38" s="28">
        <f t="shared" si="69"/>
        <v>-0.14584285019641574</v>
      </c>
      <c r="Z38" s="28">
        <f t="shared" si="69"/>
        <v>-0.10047152826753303</v>
      </c>
      <c r="AA38" s="28">
        <f t="shared" si="69"/>
        <v>-9.9277573779321893E-2</v>
      </c>
      <c r="AB38" s="28">
        <f t="shared" si="69"/>
        <v>-9.3643225811158248E-2</v>
      </c>
      <c r="AC38" s="28">
        <f t="shared" si="69"/>
        <v>-0.11264927771042743</v>
      </c>
      <c r="AD38" s="28">
        <f t="shared" si="69"/>
        <v>-9.8967137752858481E-2</v>
      </c>
      <c r="AE38" s="28">
        <f t="shared" si="69"/>
        <v>-5.7432809224387982E-2</v>
      </c>
      <c r="AF38" s="28">
        <f t="shared" si="69"/>
        <v>-0.10521490961054891</v>
      </c>
      <c r="AG38" s="28">
        <f t="shared" si="69"/>
        <v>-5.5502516741132824E-2</v>
      </c>
      <c r="AH38" s="28">
        <f t="shared" si="69"/>
        <v>-0.28779285704366253</v>
      </c>
      <c r="AI38" s="28">
        <f t="shared" si="69"/>
        <v>-0.13665765824244469</v>
      </c>
      <c r="AJ38" s="28">
        <f t="shared" si="69"/>
        <v>-6.8255974087002014E-2</v>
      </c>
      <c r="AK38" s="28">
        <f t="shared" si="69"/>
        <v>-7.0543767093420917E-2</v>
      </c>
      <c r="AL38" s="28">
        <f t="shared" si="69"/>
        <v>-4.0016340008341422E-2</v>
      </c>
      <c r="AM38" s="28">
        <f t="shared" si="69"/>
        <v>-2.1949741643657705E-2</v>
      </c>
      <c r="AN38" s="28">
        <f t="shared" si="69"/>
        <v>-4.1685152500090084E-2</v>
      </c>
      <c r="AO38" s="28">
        <f t="shared" si="69"/>
        <v>6.8074784159484425E-2</v>
      </c>
      <c r="AP38" s="28">
        <f t="shared" si="69"/>
        <v>-0.15420301195588226</v>
      </c>
      <c r="AQ38" s="28">
        <f t="shared" si="69"/>
        <v>-0.11890186887624743</v>
      </c>
      <c r="AR38" s="28">
        <f t="shared" si="69"/>
        <v>-3.7648063912382734E-2</v>
      </c>
      <c r="AS38" s="28">
        <f t="shared" si="69"/>
        <v>-0.1747839100623253</v>
      </c>
      <c r="AT38" s="28">
        <f t="shared" si="69"/>
        <v>-2.8519119899106604E-2</v>
      </c>
      <c r="AU38" s="28">
        <f t="shared" si="69"/>
        <v>-7.1450203591940431E-2</v>
      </c>
      <c r="AV38" s="28">
        <f t="shared" si="69"/>
        <v>-3.593995793525262E-2</v>
      </c>
      <c r="AW38" s="28">
        <f t="shared" si="69"/>
        <v>-0.11840935092365001</v>
      </c>
      <c r="AX38" s="28">
        <f t="shared" si="69"/>
        <v>-1.423020807388542E-3</v>
      </c>
      <c r="AY38" s="28">
        <f t="shared" si="69"/>
        <v>7.2203103706698357E-3</v>
      </c>
      <c r="AZ38" s="28">
        <f t="shared" si="69"/>
        <v>-5.5220613444170841E-2</v>
      </c>
      <c r="BA38" s="28">
        <f t="shared" si="69"/>
        <v>-8.9599632673169061E-2</v>
      </c>
      <c r="BB38" s="28">
        <f t="shared" si="69"/>
        <v>-6.168513674316356E-2</v>
      </c>
      <c r="BC38" s="28">
        <f t="shared" si="69"/>
        <v>-0.1229419806929708</v>
      </c>
      <c r="BD38" s="28">
        <f t="shared" si="69"/>
        <v>-0.17611415912890038</v>
      </c>
      <c r="BE38" s="28">
        <f t="shared" si="69"/>
        <v>-0.10745527527920973</v>
      </c>
      <c r="BF38" s="28">
        <f t="shared" si="69"/>
        <v>-0.11264927771042743</v>
      </c>
      <c r="BG38" s="28">
        <f t="shared" si="69"/>
        <v>-6.6743474742617215E-2</v>
      </c>
      <c r="BH38" s="28">
        <f t="shared" si="69"/>
        <v>-2.2224997228935006E-2</v>
      </c>
      <c r="BI38" s="28">
        <f t="shared" si="69"/>
        <v>-1.3532423457368492E-2</v>
      </c>
    </row>
    <row r="39" spans="1:62" x14ac:dyDescent="0.3">
      <c r="A39" s="2" t="s">
        <v>86</v>
      </c>
      <c r="B39" s="18">
        <f>VLOOKUP(B8,'Reference Data sheet'!$H$3:$M$176,2,FALSE)</f>
        <v>11</v>
      </c>
      <c r="C39" s="18">
        <f>VLOOKUP(C8,'Reference Data sheet'!$H$3:$M$176,2,FALSE)</f>
        <v>15</v>
      </c>
      <c r="D39" s="18">
        <f>VLOOKUP(D8,'Reference Data sheet'!$H$3:$M$176,2,FALSE)</f>
        <v>11.5</v>
      </c>
      <c r="E39" s="18">
        <f>VLOOKUP(E8,'Reference Data sheet'!$H$3:$M$176,2,FALSE)</f>
        <v>21.5</v>
      </c>
      <c r="F39" s="18">
        <f>VLOOKUP(F8,'Reference Data sheet'!$H$3:$M$176,2,FALSE)</f>
        <v>10.5</v>
      </c>
      <c r="G39" s="18">
        <f>VLOOKUP(G8,'Reference Data sheet'!$H$3:$M$176,2,FALSE)</f>
        <v>7.5</v>
      </c>
      <c r="H39" s="18">
        <f>VLOOKUP(H8,'Reference Data sheet'!$H$3:$M$176,2,FALSE)</f>
        <v>13</v>
      </c>
      <c r="I39" s="18">
        <f>VLOOKUP(I8,'Reference Data sheet'!$H$3:$M$176,2,FALSE)</f>
        <v>13</v>
      </c>
      <c r="J39" s="18">
        <f>VLOOKUP(J8,'Reference Data sheet'!$H$3:$M$176,2,FALSE)</f>
        <v>12</v>
      </c>
      <c r="K39" s="18">
        <f>VLOOKUP(K8,'Reference Data sheet'!$H$3:$M$176,2,FALSE)</f>
        <v>10</v>
      </c>
      <c r="L39" s="18">
        <f>VLOOKUP(L8,'Reference Data sheet'!$H$3:$M$176,2,FALSE)</f>
        <v>10.5</v>
      </c>
      <c r="M39" s="18">
        <f>VLOOKUP(M8,'Reference Data sheet'!$H$3:$M$176,2,FALSE)</f>
        <v>10</v>
      </c>
      <c r="N39" s="18">
        <f>VLOOKUP(N8,'Reference Data sheet'!$H$3:$M$176,2,FALSE)</f>
        <v>10</v>
      </c>
      <c r="O39" s="18">
        <f>VLOOKUP(O8,'Reference Data sheet'!$H$3:$M$176,2,FALSE)</f>
        <v>21.5</v>
      </c>
      <c r="P39" s="18">
        <f>VLOOKUP(P8,'Reference Data sheet'!$H$3:$M$176,2,FALSE)</f>
        <v>13</v>
      </c>
      <c r="Q39" s="18">
        <f>VLOOKUP(Q8,'Reference Data sheet'!$H$3:$M$176,2,FALSE)</f>
        <v>13</v>
      </c>
      <c r="R39" s="18">
        <f>VLOOKUP(R8,'Reference Data sheet'!$H$3:$M$176,2,FALSE)</f>
        <v>17.5</v>
      </c>
      <c r="S39" s="18">
        <f>VLOOKUP(S8,'Reference Data sheet'!$H$3:$M$176,2,FALSE)</f>
        <v>12</v>
      </c>
      <c r="T39" s="18">
        <f>VLOOKUP(T8,'Reference Data sheet'!$H$3:$M$176,2,FALSE)</f>
        <v>9</v>
      </c>
      <c r="U39" s="18">
        <f>VLOOKUP(U8,'Reference Data sheet'!$H$3:$M$176,2,FALSE)</f>
        <v>7.5</v>
      </c>
      <c r="V39" s="18">
        <f>VLOOKUP(V8,'Reference Data sheet'!$H$3:$M$176,2,FALSE)</f>
        <v>10</v>
      </c>
      <c r="W39" s="18">
        <f>VLOOKUP(W8,'Reference Data sheet'!$H$3:$M$176,2,FALSE)</f>
        <v>10</v>
      </c>
      <c r="X39" s="18">
        <f>VLOOKUP(X8,'Reference Data sheet'!$H$3:$M$176,2,FALSE)</f>
        <v>13</v>
      </c>
      <c r="Y39" s="18">
        <f>VLOOKUP(Y8,'Reference Data sheet'!$H$3:$M$176,2,FALSE)</f>
        <v>9</v>
      </c>
      <c r="Z39" s="18">
        <f>VLOOKUP(Z8,'Reference Data sheet'!$H$3:$M$176,2,FALSE)</f>
        <v>9</v>
      </c>
      <c r="AA39" s="18">
        <f>VLOOKUP(AA8,'Reference Data sheet'!$H$3:$M$176,2,FALSE)</f>
        <v>12.5</v>
      </c>
      <c r="AB39" s="18">
        <f>VLOOKUP(AB8,'Reference Data sheet'!$H$3:$M$176,2,FALSE)</f>
        <v>11.5</v>
      </c>
      <c r="AC39" s="18">
        <f>VLOOKUP(AC8,'Reference Data sheet'!$H$3:$M$176,2,FALSE)</f>
        <v>9.5</v>
      </c>
      <c r="AD39" s="18">
        <f>VLOOKUP(AD8,'Reference Data sheet'!$H$3:$M$176,2,FALSE)</f>
        <v>11.5</v>
      </c>
      <c r="AE39" s="18">
        <f>VLOOKUP(AE8,'Reference Data sheet'!$H$3:$M$176,2,FALSE)</f>
        <v>15</v>
      </c>
      <c r="AF39" s="18">
        <f>VLOOKUP(AF8,'Reference Data sheet'!$H$3:$M$176,2,FALSE)</f>
        <v>12.5</v>
      </c>
      <c r="AG39" s="18">
        <f>VLOOKUP(AG8,'Reference Data sheet'!$H$3:$M$176,2,FALSE)</f>
        <v>15</v>
      </c>
      <c r="AH39" s="18">
        <f>VLOOKUP(AH8,'Reference Data sheet'!$H$3:$M$176,2,FALSE)</f>
        <v>10</v>
      </c>
      <c r="AI39" s="18">
        <f>VLOOKUP(AI8,'Reference Data sheet'!$H$3:$M$176,2,FALSE)</f>
        <v>15</v>
      </c>
      <c r="AJ39" s="18">
        <f>VLOOKUP(AJ8,'Reference Data sheet'!$H$3:$M$176,2,FALSE)</f>
        <v>9</v>
      </c>
      <c r="AK39" s="18">
        <f>VLOOKUP(AK8,'Reference Data sheet'!$H$3:$M$176,2,FALSE)</f>
        <v>12.5</v>
      </c>
      <c r="AL39" s="18">
        <f>VLOOKUP(AL8,'Reference Data sheet'!$H$3:$M$176,2,FALSE)</f>
        <v>12.5</v>
      </c>
      <c r="AM39" s="18">
        <f>VLOOKUP(AM8,'Reference Data sheet'!$H$3:$M$176,2,FALSE)</f>
        <v>15</v>
      </c>
      <c r="AN39" s="18">
        <f>VLOOKUP(AN8,'Reference Data sheet'!$H$3:$M$176,2,FALSE)</f>
        <v>12.5</v>
      </c>
      <c r="AO39" s="18">
        <f>VLOOKUP(AO8,'Reference Data sheet'!$H$3:$M$176,2,FALSE)</f>
        <v>11.5</v>
      </c>
      <c r="AP39" s="18">
        <f>VLOOKUP(AP8,'Reference Data sheet'!$H$3:$M$176,2,FALSE)</f>
        <v>7.5</v>
      </c>
      <c r="AQ39" s="18">
        <f>VLOOKUP(AQ8,'Reference Data sheet'!$H$3:$M$176,2,FALSE)</f>
        <v>7.5</v>
      </c>
      <c r="AR39" s="18">
        <f>VLOOKUP(AR8,'Reference Data sheet'!$H$3:$M$176,2,FALSE)</f>
        <v>12</v>
      </c>
      <c r="AS39" s="18">
        <f>VLOOKUP(AS8,'Reference Data sheet'!$H$3:$M$176,2,FALSE)</f>
        <v>13</v>
      </c>
      <c r="AT39" s="18">
        <f>VLOOKUP(AT8,'Reference Data sheet'!$H$3:$M$176,2,FALSE)</f>
        <v>11.5</v>
      </c>
      <c r="AU39" s="18">
        <f>VLOOKUP(AU8,'Reference Data sheet'!$H$3:$M$176,2,FALSE)</f>
        <v>11.5</v>
      </c>
      <c r="AV39" s="18">
        <f>VLOOKUP(AV8,'Reference Data sheet'!$H$3:$M$176,2,FALSE)</f>
        <v>11.5</v>
      </c>
      <c r="AW39" s="18">
        <f>VLOOKUP(AW8,'Reference Data sheet'!$H$3:$M$176,2,FALSE)</f>
        <v>11.5</v>
      </c>
      <c r="AX39" s="18">
        <f>VLOOKUP(AX8,'Reference Data sheet'!$H$3:$M$176,2,FALSE)</f>
        <v>11.5</v>
      </c>
      <c r="AY39" s="18">
        <f>VLOOKUP(AY8,'Reference Data sheet'!$H$3:$M$176,2,FALSE)</f>
        <v>11.5</v>
      </c>
      <c r="AZ39" s="18">
        <f>VLOOKUP(AZ8,'Reference Data sheet'!$H$3:$M$176,2,FALSE)</f>
        <v>21.5</v>
      </c>
      <c r="BA39" s="18">
        <f>VLOOKUP(BA8,'Reference Data sheet'!$H$3:$M$176,2,FALSE)</f>
        <v>15</v>
      </c>
      <c r="BB39" s="18">
        <f>VLOOKUP(BB8,'Reference Data sheet'!$H$3:$M$176,2,FALSE)</f>
        <v>12</v>
      </c>
      <c r="BC39" s="18">
        <f>VLOOKUP(BC8,'Reference Data sheet'!$H$3:$M$176,2,FALSE)</f>
        <v>12.5</v>
      </c>
      <c r="BD39" s="18">
        <f>VLOOKUP(BD8,'Reference Data sheet'!$H$3:$M$176,2,FALSE)</f>
        <v>10</v>
      </c>
      <c r="BE39" s="18">
        <f>VLOOKUP(BE8,'Reference Data sheet'!$H$3:$M$176,2,FALSE)</f>
        <v>10</v>
      </c>
      <c r="BF39" s="18">
        <f>VLOOKUP(BF8,'Reference Data sheet'!$H$3:$M$176,2,FALSE)</f>
        <v>9.5</v>
      </c>
      <c r="BG39" s="18">
        <f>VLOOKUP(BG8,'Reference Data sheet'!$H$3:$M$176,2,FALSE)</f>
        <v>9.5</v>
      </c>
      <c r="BH39" s="18">
        <f>VLOOKUP(BH8,'Reference Data sheet'!$H$3:$M$176,2,FALSE)</f>
        <v>10</v>
      </c>
      <c r="BI39" s="18">
        <f>VLOOKUP(BI8,'Reference Data sheet'!$H$3:$M$176,2,FALSE)</f>
        <v>12</v>
      </c>
      <c r="BJ39" s="2" t="s">
        <v>80</v>
      </c>
    </row>
    <row r="40" spans="1:62" x14ac:dyDescent="0.3">
      <c r="A40" s="2" t="s">
        <v>83</v>
      </c>
      <c r="B40" s="18">
        <f>VLOOKUP(B9,'Reference Data sheet'!$B$181:$C$191,2,FALSE)</f>
        <v>0.2</v>
      </c>
      <c r="C40" s="18">
        <f>VLOOKUP(C9,'Reference Data sheet'!$B$181:$C$191,2,FALSE)</f>
        <v>0.2</v>
      </c>
      <c r="D40" s="18">
        <f>VLOOKUP(D9,'Reference Data sheet'!$B$181:$C$191,2,FALSE)</f>
        <v>0.2</v>
      </c>
      <c r="E40" s="18">
        <f>VLOOKUP(E9,'Reference Data sheet'!$B$181:$C$191,2,FALSE)</f>
        <v>0.2</v>
      </c>
      <c r="F40" s="18">
        <f>VLOOKUP(F9,'Reference Data sheet'!$B$181:$C$191,2,FALSE)</f>
        <v>0.2</v>
      </c>
      <c r="G40" s="18">
        <f>VLOOKUP(G9,'Reference Data sheet'!$B$181:$C$191,2,FALSE)</f>
        <v>0.2</v>
      </c>
      <c r="H40" s="18">
        <f>VLOOKUP(H9,'Reference Data sheet'!$B$181:$C$191,2,FALSE)</f>
        <v>0.2</v>
      </c>
      <c r="I40" s="18">
        <f>VLOOKUP(I9,'Reference Data sheet'!$B$181:$C$191,2,FALSE)</f>
        <v>0.2</v>
      </c>
      <c r="J40" s="18">
        <f>VLOOKUP(J9,'Reference Data sheet'!$B$181:$C$191,2,FALSE)</f>
        <v>0.2</v>
      </c>
      <c r="K40" s="18">
        <f>VLOOKUP(K9,'Reference Data sheet'!$B$181:$C$191,2,FALSE)</f>
        <v>0.2</v>
      </c>
      <c r="L40" s="18">
        <f>VLOOKUP(L9,'Reference Data sheet'!$B$181:$C$191,2,FALSE)</f>
        <v>0.2</v>
      </c>
      <c r="M40" s="18">
        <f>VLOOKUP(M9,'Reference Data sheet'!$B$181:$C$191,2,FALSE)</f>
        <v>0.2</v>
      </c>
      <c r="N40" s="18">
        <f>VLOOKUP(N9,'Reference Data sheet'!$B$181:$C$191,2,FALSE)</f>
        <v>0.2</v>
      </c>
      <c r="O40" s="18">
        <f>VLOOKUP(O9,'Reference Data sheet'!$B$181:$C$191,2,FALSE)</f>
        <v>0.2</v>
      </c>
      <c r="P40" s="18">
        <f>VLOOKUP(P9,'Reference Data sheet'!$B$181:$C$191,2,FALSE)</f>
        <v>0.2</v>
      </c>
      <c r="Q40" s="18">
        <f>VLOOKUP(Q9,'Reference Data sheet'!$B$181:$C$191,2,FALSE)</f>
        <v>0.2</v>
      </c>
      <c r="R40" s="18">
        <f>VLOOKUP(R9,'Reference Data sheet'!$B$181:$C$191,2,FALSE)</f>
        <v>0.2</v>
      </c>
      <c r="S40" s="18">
        <f>VLOOKUP(S9,'Reference Data sheet'!$B$181:$C$191,2,FALSE)</f>
        <v>0.2</v>
      </c>
      <c r="T40" s="18">
        <f>VLOOKUP(T9,'Reference Data sheet'!$B$181:$C$191,2,FALSE)</f>
        <v>0.2</v>
      </c>
      <c r="U40" s="18">
        <f>VLOOKUP(U9,'Reference Data sheet'!$B$181:$C$191,2,FALSE)</f>
        <v>0.2</v>
      </c>
      <c r="V40" s="18">
        <f>VLOOKUP(V9,'Reference Data sheet'!$B$181:$C$191,2,FALSE)</f>
        <v>0.2</v>
      </c>
      <c r="W40" s="18">
        <f>VLOOKUP(W9,'Reference Data sheet'!$B$181:$C$191,2,FALSE)</f>
        <v>0.2</v>
      </c>
      <c r="X40" s="18">
        <f>VLOOKUP(X9,'Reference Data sheet'!$B$181:$C$191,2,FALSE)</f>
        <v>0.2</v>
      </c>
      <c r="Y40" s="18">
        <f>VLOOKUP(Y9,'Reference Data sheet'!$B$181:$C$191,2,FALSE)</f>
        <v>0.2</v>
      </c>
      <c r="Z40" s="18">
        <f>VLOOKUP(Z9,'Reference Data sheet'!$B$181:$C$191,2,FALSE)</f>
        <v>0.1</v>
      </c>
      <c r="AA40" s="18">
        <f>VLOOKUP(AA9,'Reference Data sheet'!$B$181:$C$191,2,FALSE)</f>
        <v>0.2</v>
      </c>
      <c r="AB40" s="18">
        <f>VLOOKUP(AB9,'Reference Data sheet'!$B$181:$C$191,2,FALSE)</f>
        <v>0.2</v>
      </c>
      <c r="AC40" s="18">
        <f>VLOOKUP(AC9,'Reference Data sheet'!$B$181:$C$191,2,FALSE)</f>
        <v>0.2</v>
      </c>
      <c r="AD40" s="18">
        <f>VLOOKUP(AD9,'Reference Data sheet'!$B$181:$C$191,2,FALSE)</f>
        <v>0.2</v>
      </c>
      <c r="AE40" s="18">
        <f>VLOOKUP(AE9,'Reference Data sheet'!$B$181:$C$191,2,FALSE)</f>
        <v>0.2</v>
      </c>
      <c r="AF40" s="18">
        <f>VLOOKUP(AF9,'Reference Data sheet'!$B$181:$C$191,2,FALSE)</f>
        <v>0.2</v>
      </c>
      <c r="AG40" s="18">
        <f>VLOOKUP(AG9,'Reference Data sheet'!$B$181:$C$191,2,FALSE)</f>
        <v>0.2</v>
      </c>
      <c r="AH40" s="18">
        <f>VLOOKUP(AH9,'Reference Data sheet'!$B$181:$C$191,2,FALSE)</f>
        <v>0.1</v>
      </c>
      <c r="AI40" s="18">
        <f>VLOOKUP(AI9,'Reference Data sheet'!$B$181:$C$191,2,FALSE)</f>
        <v>0</v>
      </c>
      <c r="AJ40" s="18">
        <f>VLOOKUP(AJ9,'Reference Data sheet'!$B$181:$C$191,2,FALSE)</f>
        <v>0</v>
      </c>
      <c r="AK40" s="18">
        <f>VLOOKUP(AK9,'Reference Data sheet'!$B$181:$C$191,2,FALSE)</f>
        <v>0</v>
      </c>
      <c r="AL40" s="18">
        <f>VLOOKUP(AL9,'Reference Data sheet'!$B$181:$C$191,2,FALSE)</f>
        <v>0</v>
      </c>
      <c r="AM40" s="18">
        <f>VLOOKUP(AM9,'Reference Data sheet'!$B$181:$C$191,2,FALSE)</f>
        <v>0</v>
      </c>
      <c r="AN40" s="18">
        <f>VLOOKUP(AN9,'Reference Data sheet'!$B$181:$C$191,2,FALSE)</f>
        <v>0.2</v>
      </c>
      <c r="AO40" s="18">
        <f>VLOOKUP(AO9,'Reference Data sheet'!$B$181:$C$191,2,FALSE)</f>
        <v>0.2</v>
      </c>
      <c r="AP40" s="18">
        <f>VLOOKUP(AP9,'Reference Data sheet'!$B$181:$C$191,2,FALSE)</f>
        <v>0.2</v>
      </c>
      <c r="AQ40" s="18">
        <f>VLOOKUP(AQ9,'Reference Data sheet'!$B$181:$C$191,2,FALSE)</f>
        <v>0.2</v>
      </c>
      <c r="AR40" s="18">
        <f>VLOOKUP(AR9,'Reference Data sheet'!$B$181:$C$191,2,FALSE)</f>
        <v>0.2</v>
      </c>
      <c r="AS40" s="18">
        <f>VLOOKUP(AS9,'Reference Data sheet'!$B$181:$C$191,2,FALSE)</f>
        <v>0.2</v>
      </c>
      <c r="AT40" s="18">
        <f>VLOOKUP(AT9,'Reference Data sheet'!$B$181:$C$191,2,FALSE)</f>
        <v>-0.1</v>
      </c>
      <c r="AU40" s="18">
        <f>VLOOKUP(AU9,'Reference Data sheet'!$B$181:$C$191,2,FALSE)</f>
        <v>0.2</v>
      </c>
      <c r="AV40" s="18">
        <f>VLOOKUP(AV9,'Reference Data sheet'!$B$181:$C$191,2,FALSE)</f>
        <v>0.2</v>
      </c>
      <c r="AW40" s="18">
        <f>VLOOKUP(AW9,'Reference Data sheet'!$B$181:$C$191,2,FALSE)</f>
        <v>0.2</v>
      </c>
      <c r="AX40" s="18">
        <f>VLOOKUP(AX9,'Reference Data sheet'!$B$181:$C$191,2,FALSE)</f>
        <v>0.2</v>
      </c>
      <c r="AY40" s="18">
        <f>VLOOKUP(AY9,'Reference Data sheet'!$B$181:$C$191,2,FALSE)</f>
        <v>0.2</v>
      </c>
      <c r="AZ40" s="18">
        <f>VLOOKUP(AZ9,'Reference Data sheet'!$B$181:$C$191,2,FALSE)</f>
        <v>0.2</v>
      </c>
      <c r="BA40" s="18">
        <f>VLOOKUP(BA9,'Reference Data sheet'!$B$181:$C$191,2,FALSE)</f>
        <v>0.2</v>
      </c>
      <c r="BB40" s="18">
        <f>VLOOKUP(BB9,'Reference Data sheet'!$B$181:$C$191,2,FALSE)</f>
        <v>0</v>
      </c>
      <c r="BC40" s="18">
        <f>VLOOKUP(BC9,'Reference Data sheet'!$B$181:$C$191,2,FALSE)</f>
        <v>0.1</v>
      </c>
      <c r="BD40" s="18">
        <f>VLOOKUP(BD9,'Reference Data sheet'!$B$181:$C$191,2,FALSE)</f>
        <v>0.2</v>
      </c>
      <c r="BE40" s="18">
        <f>VLOOKUP(BE9,'Reference Data sheet'!$B$181:$C$191,2,FALSE)</f>
        <v>0</v>
      </c>
      <c r="BF40" s="18">
        <f>VLOOKUP(BF9,'Reference Data sheet'!$B$181:$C$191,2,FALSE)</f>
        <v>0.2</v>
      </c>
      <c r="BG40" s="18">
        <f>VLOOKUP(BG9,'Reference Data sheet'!$B$181:$C$191,2,FALSE)</f>
        <v>0.2</v>
      </c>
      <c r="BH40" s="18">
        <f>VLOOKUP(BH9,'Reference Data sheet'!$B$181:$C$191,2,FALSE)</f>
        <v>0.1</v>
      </c>
      <c r="BI40" s="18">
        <f>VLOOKUP(BI9,'Reference Data sheet'!$B$181:$C$191,2,FALSE)</f>
        <v>-0.2</v>
      </c>
      <c r="BJ40" s="2" t="s">
        <v>81</v>
      </c>
    </row>
    <row r="41" spans="1:62" x14ac:dyDescent="0.3">
      <c r="A41" s="2" t="s">
        <v>84</v>
      </c>
      <c r="B41" s="18">
        <f>IF(AVERAGE(B12:B14)&lt;='Reference Data sheet'!$B198,'Reference Data sheet'!$C198,IF(AVERAGE(B12:B14)&lt;='Reference Data sheet'!$B199,'Reference Data sheet'!$C199,IF(AVERAGE(B12:B14)&lt;='Reference Data sheet'!$B200,'Reference Data sheet'!$C200,'Reference Data sheet'!$C201)))</f>
        <v>0.6</v>
      </c>
      <c r="C41" s="18">
        <f>IF(AVERAGE(C12:C14)&lt;='Reference Data sheet'!$B198,'Reference Data sheet'!$C198,IF(AVERAGE(C12:C14)&lt;='Reference Data sheet'!$B199,'Reference Data sheet'!$C199,IF(AVERAGE(C12:C14)&lt;='Reference Data sheet'!$B200,'Reference Data sheet'!$C200,'Reference Data sheet'!$C201)))</f>
        <v>0.6</v>
      </c>
      <c r="D41" s="18">
        <f>IF(AVERAGE(D12:D14)&lt;='Reference Data sheet'!$B198,'Reference Data sheet'!$C198,IF(AVERAGE(D12:D14)&lt;='Reference Data sheet'!$B199,'Reference Data sheet'!$C199,IF(AVERAGE(D12:D14)&lt;='Reference Data sheet'!$B200,'Reference Data sheet'!$C200,'Reference Data sheet'!$C201)))</f>
        <v>0.6</v>
      </c>
      <c r="E41" s="18">
        <f>IF(AVERAGE(E12:E14)&lt;='Reference Data sheet'!$B198,'Reference Data sheet'!$C198,IF(AVERAGE(E12:E14)&lt;='Reference Data sheet'!$B199,'Reference Data sheet'!$C199,IF(AVERAGE(E12:E14)&lt;='Reference Data sheet'!$B200,'Reference Data sheet'!$C200,'Reference Data sheet'!$C201)))</f>
        <v>0.6</v>
      </c>
      <c r="F41" s="18">
        <f>IF(AVERAGE(F12:F14)&lt;='Reference Data sheet'!$B198,'Reference Data sheet'!$C198,IF(AVERAGE(F12:F14)&lt;='Reference Data sheet'!$B199,'Reference Data sheet'!$C199,IF(AVERAGE(F12:F14)&lt;='Reference Data sheet'!$B200,'Reference Data sheet'!$C200,'Reference Data sheet'!$C201)))</f>
        <v>0.6</v>
      </c>
      <c r="G41" s="18">
        <f>IF(AVERAGE(G12:G14)&lt;='Reference Data sheet'!$B198,'Reference Data sheet'!$C198,IF(AVERAGE(G12:G14)&lt;='Reference Data sheet'!$B199,'Reference Data sheet'!$C199,IF(AVERAGE(G12:G14)&lt;='Reference Data sheet'!$B200,'Reference Data sheet'!$C200,'Reference Data sheet'!$C201)))</f>
        <v>0.6</v>
      </c>
      <c r="H41" s="18">
        <f>IF(AVERAGE(H12:H14)&lt;='Reference Data sheet'!$B198,'Reference Data sheet'!$C198,IF(AVERAGE(H12:H14)&lt;='Reference Data sheet'!$B199,'Reference Data sheet'!$C199,IF(AVERAGE(H12:H14)&lt;='Reference Data sheet'!$B200,'Reference Data sheet'!$C200,'Reference Data sheet'!$C201)))</f>
        <v>0.6</v>
      </c>
      <c r="I41" s="18">
        <f>IF(AVERAGE(I12:I14)&lt;='Reference Data sheet'!$B198,'Reference Data sheet'!$C198,IF(AVERAGE(I12:I14)&lt;='Reference Data sheet'!$B199,'Reference Data sheet'!$C199,IF(AVERAGE(I12:I14)&lt;='Reference Data sheet'!$B200,'Reference Data sheet'!$C200,'Reference Data sheet'!$C201)))</f>
        <v>0.6</v>
      </c>
      <c r="J41" s="18">
        <f>IF(AVERAGE(J12:J14)&lt;='Reference Data sheet'!$B198,'Reference Data sheet'!$C198,IF(AVERAGE(J12:J14)&lt;='Reference Data sheet'!$B199,'Reference Data sheet'!$C199,IF(AVERAGE(J12:J14)&lt;='Reference Data sheet'!$B200,'Reference Data sheet'!$C200,'Reference Data sheet'!$C201)))</f>
        <v>0.6</v>
      </c>
      <c r="K41" s="18">
        <f>IF(AVERAGE(K12:K14)&lt;='Reference Data sheet'!$B198,'Reference Data sheet'!$C198,IF(AVERAGE(K12:K14)&lt;='Reference Data sheet'!$B199,'Reference Data sheet'!$C199,IF(AVERAGE(K12:K14)&lt;='Reference Data sheet'!$B200,'Reference Data sheet'!$C200,'Reference Data sheet'!$C201)))</f>
        <v>0.6</v>
      </c>
      <c r="L41" s="18">
        <f>IF(AVERAGE(L12:L14)&lt;='Reference Data sheet'!$B198,'Reference Data sheet'!$C198,IF(AVERAGE(L12:L14)&lt;='Reference Data sheet'!$B199,'Reference Data sheet'!$C199,IF(AVERAGE(L12:L14)&lt;='Reference Data sheet'!$B200,'Reference Data sheet'!$C200,'Reference Data sheet'!$C201)))</f>
        <v>0.6</v>
      </c>
      <c r="M41" s="18">
        <f>IF(AVERAGE(M12:M14)&lt;='Reference Data sheet'!$B198,'Reference Data sheet'!$C198,IF(AVERAGE(M12:M14)&lt;='Reference Data sheet'!$B199,'Reference Data sheet'!$C199,IF(AVERAGE(M12:M14)&lt;='Reference Data sheet'!$B200,'Reference Data sheet'!$C200,'Reference Data sheet'!$C201)))</f>
        <v>0.6</v>
      </c>
      <c r="N41" s="18">
        <f>IF(AVERAGE(N12:N14)&lt;='Reference Data sheet'!$B198,'Reference Data sheet'!$C198,IF(AVERAGE(N12:N14)&lt;='Reference Data sheet'!$B199,'Reference Data sheet'!$C199,IF(AVERAGE(N12:N14)&lt;='Reference Data sheet'!$B200,'Reference Data sheet'!$C200,'Reference Data sheet'!$C201)))</f>
        <v>0.6</v>
      </c>
      <c r="O41" s="18">
        <f>IF(AVERAGE(O12:O14)&lt;='Reference Data sheet'!$B198,'Reference Data sheet'!$C198,IF(AVERAGE(O12:O14)&lt;='Reference Data sheet'!$B199,'Reference Data sheet'!$C199,IF(AVERAGE(O12:O14)&lt;='Reference Data sheet'!$B200,'Reference Data sheet'!$C200,'Reference Data sheet'!$C201)))</f>
        <v>0.6</v>
      </c>
      <c r="P41" s="18">
        <f>IF(AVERAGE(P12:P14)&lt;='Reference Data sheet'!$B198,'Reference Data sheet'!$C198,IF(AVERAGE(P12:P14)&lt;='Reference Data sheet'!$B199,'Reference Data sheet'!$C199,IF(AVERAGE(P12:P14)&lt;='Reference Data sheet'!$B200,'Reference Data sheet'!$C200,'Reference Data sheet'!$C201)))</f>
        <v>0.6</v>
      </c>
      <c r="Q41" s="18">
        <f>IF(AVERAGE(Q12:Q14)&lt;='Reference Data sheet'!$B198,'Reference Data sheet'!$C198,IF(AVERAGE(Q12:Q14)&lt;='Reference Data sheet'!$B199,'Reference Data sheet'!$C199,IF(AVERAGE(Q12:Q14)&lt;='Reference Data sheet'!$B200,'Reference Data sheet'!$C200,'Reference Data sheet'!$C201)))</f>
        <v>0.6</v>
      </c>
      <c r="R41" s="18">
        <f>IF(AVERAGE(R12:R14)&lt;='Reference Data sheet'!$B198,'Reference Data sheet'!$C198,IF(AVERAGE(R12:R14)&lt;='Reference Data sheet'!$B199,'Reference Data sheet'!$C199,IF(AVERAGE(R12:R14)&lt;='Reference Data sheet'!$B200,'Reference Data sheet'!$C200,'Reference Data sheet'!$C201)))</f>
        <v>0.6</v>
      </c>
      <c r="S41" s="18">
        <f>IF(AVERAGE(S12:S14)&lt;='Reference Data sheet'!$B198,'Reference Data sheet'!$C198,IF(AVERAGE(S12:S14)&lt;='Reference Data sheet'!$B199,'Reference Data sheet'!$C199,IF(AVERAGE(S12:S14)&lt;='Reference Data sheet'!$B200,'Reference Data sheet'!$C200,'Reference Data sheet'!$C201)))</f>
        <v>0.6</v>
      </c>
      <c r="T41" s="18">
        <f>IF(AVERAGE(T12:T14)&lt;='Reference Data sheet'!$B198,'Reference Data sheet'!$C198,IF(AVERAGE(T12:T14)&lt;='Reference Data sheet'!$B199,'Reference Data sheet'!$C199,IF(AVERAGE(T12:T14)&lt;='Reference Data sheet'!$B200,'Reference Data sheet'!$C200,'Reference Data sheet'!$C201)))</f>
        <v>0.6</v>
      </c>
      <c r="U41" s="18">
        <f>IF(AVERAGE(U12:U14)&lt;='Reference Data sheet'!$B198,'Reference Data sheet'!$C198,IF(AVERAGE(U12:U14)&lt;='Reference Data sheet'!$B199,'Reference Data sheet'!$C199,IF(AVERAGE(U12:U14)&lt;='Reference Data sheet'!$B200,'Reference Data sheet'!$C200,'Reference Data sheet'!$C201)))</f>
        <v>0.6</v>
      </c>
      <c r="V41" s="18">
        <f>IF(AVERAGE(V12:V14)&lt;='Reference Data sheet'!$B198,'Reference Data sheet'!$C198,IF(AVERAGE(V12:V14)&lt;='Reference Data sheet'!$B199,'Reference Data sheet'!$C199,IF(AVERAGE(V12:V14)&lt;='Reference Data sheet'!$B200,'Reference Data sheet'!$C200,'Reference Data sheet'!$C201)))</f>
        <v>0.6</v>
      </c>
      <c r="W41" s="18">
        <f>IF(AVERAGE(W12:W14)&lt;='Reference Data sheet'!$B198,'Reference Data sheet'!$C198,IF(AVERAGE(W12:W14)&lt;='Reference Data sheet'!$B199,'Reference Data sheet'!$C199,IF(AVERAGE(W12:W14)&lt;='Reference Data sheet'!$B200,'Reference Data sheet'!$C200,'Reference Data sheet'!$C201)))</f>
        <v>0.6</v>
      </c>
      <c r="X41" s="18">
        <f>IF(AVERAGE(X12:X14)&lt;='Reference Data sheet'!$B198,'Reference Data sheet'!$C198,IF(AVERAGE(X12:X14)&lt;='Reference Data sheet'!$B199,'Reference Data sheet'!$C199,IF(AVERAGE(X12:X14)&lt;='Reference Data sheet'!$B200,'Reference Data sheet'!$C200,'Reference Data sheet'!$C201)))</f>
        <v>0.6</v>
      </c>
      <c r="Y41" s="18">
        <f>IF(AVERAGE(Y12:Y14)&lt;='Reference Data sheet'!$B198,'Reference Data sheet'!$C198,IF(AVERAGE(Y12:Y14)&lt;='Reference Data sheet'!$B199,'Reference Data sheet'!$C199,IF(AVERAGE(Y12:Y14)&lt;='Reference Data sheet'!$B200,'Reference Data sheet'!$C200,'Reference Data sheet'!$C201)))</f>
        <v>0.6</v>
      </c>
      <c r="Z41" s="18">
        <f>IF(AVERAGE(Z12:Z14)&lt;='Reference Data sheet'!$B198,'Reference Data sheet'!$C198,IF(AVERAGE(Z12:Z14)&lt;='Reference Data sheet'!$B199,'Reference Data sheet'!$C199,IF(AVERAGE(Z12:Z14)&lt;='Reference Data sheet'!$B200,'Reference Data sheet'!$C200,'Reference Data sheet'!$C201)))</f>
        <v>0.6</v>
      </c>
      <c r="AA41" s="18">
        <f>IF(AVERAGE(AA12:AA14)&lt;='Reference Data sheet'!$B198,'Reference Data sheet'!$C198,IF(AVERAGE(AA12:AA14)&lt;='Reference Data sheet'!$B199,'Reference Data sheet'!$C199,IF(AVERAGE(AA12:AA14)&lt;='Reference Data sheet'!$B200,'Reference Data sheet'!$C200,'Reference Data sheet'!$C201)))</f>
        <v>0.6</v>
      </c>
      <c r="AB41" s="18">
        <f>IF(AVERAGE(AB12:AB14)&lt;='Reference Data sheet'!$B198,'Reference Data sheet'!$C198,IF(AVERAGE(AB12:AB14)&lt;='Reference Data sheet'!$B199,'Reference Data sheet'!$C199,IF(AVERAGE(AB12:AB14)&lt;='Reference Data sheet'!$B200,'Reference Data sheet'!$C200,'Reference Data sheet'!$C201)))</f>
        <v>0.6</v>
      </c>
      <c r="AC41" s="18">
        <f>IF(AVERAGE(AC12:AC14)&lt;='Reference Data sheet'!$B198,'Reference Data sheet'!$C198,IF(AVERAGE(AC12:AC14)&lt;='Reference Data sheet'!$B199,'Reference Data sheet'!$C199,IF(AVERAGE(AC12:AC14)&lt;='Reference Data sheet'!$B200,'Reference Data sheet'!$C200,'Reference Data sheet'!$C201)))</f>
        <v>0.6</v>
      </c>
      <c r="AD41" s="18">
        <f>IF(AVERAGE(AD12:AD14)&lt;='Reference Data sheet'!$B198,'Reference Data sheet'!$C198,IF(AVERAGE(AD12:AD14)&lt;='Reference Data sheet'!$B199,'Reference Data sheet'!$C199,IF(AVERAGE(AD12:AD14)&lt;='Reference Data sheet'!$B200,'Reference Data sheet'!$C200,'Reference Data sheet'!$C201)))</f>
        <v>0.6</v>
      </c>
      <c r="AE41" s="18">
        <f>IF(AVERAGE(AE12:AE14)&lt;='Reference Data sheet'!$B198,'Reference Data sheet'!$C198,IF(AVERAGE(AE12:AE14)&lt;='Reference Data sheet'!$B199,'Reference Data sheet'!$C199,IF(AVERAGE(AE12:AE14)&lt;='Reference Data sheet'!$B200,'Reference Data sheet'!$C200,'Reference Data sheet'!$C201)))</f>
        <v>0.6</v>
      </c>
      <c r="AF41" s="18">
        <f>IF(AVERAGE(AF12:AF14)&lt;='Reference Data sheet'!$B198,'Reference Data sheet'!$C198,IF(AVERAGE(AF12:AF14)&lt;='Reference Data sheet'!$B199,'Reference Data sheet'!$C199,IF(AVERAGE(AF12:AF14)&lt;='Reference Data sheet'!$B200,'Reference Data sheet'!$C200,'Reference Data sheet'!$C201)))</f>
        <v>0.6</v>
      </c>
      <c r="AG41" s="18">
        <f>IF(AVERAGE(AG12:AG14)&lt;='Reference Data sheet'!$B198,'Reference Data sheet'!$C198,IF(AVERAGE(AG12:AG14)&lt;='Reference Data sheet'!$B199,'Reference Data sheet'!$C199,IF(AVERAGE(AG12:AG14)&lt;='Reference Data sheet'!$B200,'Reference Data sheet'!$C200,'Reference Data sheet'!$C201)))</f>
        <v>0.6</v>
      </c>
      <c r="AH41" s="18">
        <f>IF(AVERAGE(AH12:AH14)&lt;='Reference Data sheet'!$B198,'Reference Data sheet'!$C198,IF(AVERAGE(AH12:AH14)&lt;='Reference Data sheet'!$B199,'Reference Data sheet'!$C199,IF(AVERAGE(AH12:AH14)&lt;='Reference Data sheet'!$B200,'Reference Data sheet'!$C200,'Reference Data sheet'!$C201)))</f>
        <v>0.6</v>
      </c>
      <c r="AI41" s="18">
        <f>IF(AVERAGE(AI12:AI14)&lt;='Reference Data sheet'!$B198,'Reference Data sheet'!$C198,IF(AVERAGE(AI12:AI14)&lt;='Reference Data sheet'!$B199,'Reference Data sheet'!$C199,IF(AVERAGE(AI12:AI14)&lt;='Reference Data sheet'!$B200,'Reference Data sheet'!$C200,'Reference Data sheet'!$C201)))</f>
        <v>0.6</v>
      </c>
      <c r="AJ41" s="18">
        <f>IF(AVERAGE(AJ12:AJ14)&lt;='Reference Data sheet'!$B198,'Reference Data sheet'!$C198,IF(AVERAGE(AJ12:AJ14)&lt;='Reference Data sheet'!$B199,'Reference Data sheet'!$C199,IF(AVERAGE(AJ12:AJ14)&lt;='Reference Data sheet'!$B200,'Reference Data sheet'!$C200,'Reference Data sheet'!$C201)))</f>
        <v>0.6</v>
      </c>
      <c r="AK41" s="18">
        <f>IF(AVERAGE(AK12:AK14)&lt;='Reference Data sheet'!$B198,'Reference Data sheet'!$C198,IF(AVERAGE(AK12:AK14)&lt;='Reference Data sheet'!$B199,'Reference Data sheet'!$C199,IF(AVERAGE(AK12:AK14)&lt;='Reference Data sheet'!$B200,'Reference Data sheet'!$C200,'Reference Data sheet'!$C201)))</f>
        <v>0.6</v>
      </c>
      <c r="AL41" s="18">
        <f>IF(AVERAGE(AL12:AL14)&lt;='Reference Data sheet'!$B198,'Reference Data sheet'!$C198,IF(AVERAGE(AL12:AL14)&lt;='Reference Data sheet'!$B199,'Reference Data sheet'!$C199,IF(AVERAGE(AL12:AL14)&lt;='Reference Data sheet'!$B200,'Reference Data sheet'!$C200,'Reference Data sheet'!$C201)))</f>
        <v>0.6</v>
      </c>
      <c r="AM41" s="18">
        <f>IF(AVERAGE(AM12:AM14)&lt;='Reference Data sheet'!$B198,'Reference Data sheet'!$C198,IF(AVERAGE(AM12:AM14)&lt;='Reference Data sheet'!$B199,'Reference Data sheet'!$C199,IF(AVERAGE(AM12:AM14)&lt;='Reference Data sheet'!$B200,'Reference Data sheet'!$C200,'Reference Data sheet'!$C201)))</f>
        <v>0.6</v>
      </c>
      <c r="AN41" s="18">
        <f>IF(AVERAGE(AN12:AN14)&lt;='Reference Data sheet'!$B198,'Reference Data sheet'!$C198,IF(AVERAGE(AN12:AN14)&lt;='Reference Data sheet'!$B199,'Reference Data sheet'!$C199,IF(AVERAGE(AN12:AN14)&lt;='Reference Data sheet'!$B200,'Reference Data sheet'!$C200,'Reference Data sheet'!$C201)))</f>
        <v>0.6</v>
      </c>
      <c r="AO41" s="18">
        <f>IF(AVERAGE(AO12:AO14)&lt;='Reference Data sheet'!$B198,'Reference Data sheet'!$C198,IF(AVERAGE(AO12:AO14)&lt;='Reference Data sheet'!$B199,'Reference Data sheet'!$C199,IF(AVERAGE(AO12:AO14)&lt;='Reference Data sheet'!$B200,'Reference Data sheet'!$C200,'Reference Data sheet'!$C201)))</f>
        <v>0.6</v>
      </c>
      <c r="AP41" s="18">
        <f>IF(AVERAGE(AP12:AP14)&lt;='Reference Data sheet'!$B198,'Reference Data sheet'!$C198,IF(AVERAGE(AP12:AP14)&lt;='Reference Data sheet'!$B199,'Reference Data sheet'!$C199,IF(AVERAGE(AP12:AP14)&lt;='Reference Data sheet'!$B200,'Reference Data sheet'!$C200,'Reference Data sheet'!$C201)))</f>
        <v>0.6</v>
      </c>
      <c r="AQ41" s="18">
        <f>IF(AVERAGE(AQ12:AQ14)&lt;='Reference Data sheet'!$B198,'Reference Data sheet'!$C198,IF(AVERAGE(AQ12:AQ14)&lt;='Reference Data sheet'!$B199,'Reference Data sheet'!$C199,IF(AVERAGE(AQ12:AQ14)&lt;='Reference Data sheet'!$B200,'Reference Data sheet'!$C200,'Reference Data sheet'!$C201)))</f>
        <v>0.6</v>
      </c>
      <c r="AR41" s="18">
        <f>IF(AVERAGE(AR12:AR14)&lt;='Reference Data sheet'!$B198,'Reference Data sheet'!$C198,IF(AVERAGE(AR12:AR14)&lt;='Reference Data sheet'!$B199,'Reference Data sheet'!$C199,IF(AVERAGE(AR12:AR14)&lt;='Reference Data sheet'!$B200,'Reference Data sheet'!$C200,'Reference Data sheet'!$C201)))</f>
        <v>0.6</v>
      </c>
      <c r="AS41" s="18">
        <f>IF(AVERAGE(AS12:AS14)&lt;='Reference Data sheet'!$B198,'Reference Data sheet'!$C198,IF(AVERAGE(AS12:AS14)&lt;='Reference Data sheet'!$B199,'Reference Data sheet'!$C199,IF(AVERAGE(AS12:AS14)&lt;='Reference Data sheet'!$B200,'Reference Data sheet'!$C200,'Reference Data sheet'!$C201)))</f>
        <v>0.6</v>
      </c>
      <c r="AT41" s="18">
        <f>IF(AVERAGE(AT12:AT14)&lt;='Reference Data sheet'!$B198,'Reference Data sheet'!$C198,IF(AVERAGE(AT12:AT14)&lt;='Reference Data sheet'!$B199,'Reference Data sheet'!$C199,IF(AVERAGE(AT12:AT14)&lt;='Reference Data sheet'!$B200,'Reference Data sheet'!$C200,'Reference Data sheet'!$C201)))</f>
        <v>0.6</v>
      </c>
      <c r="AU41" s="18">
        <f>IF(AVERAGE(AU12:AU14)&lt;='Reference Data sheet'!$B198,'Reference Data sheet'!$C198,IF(AVERAGE(AU12:AU14)&lt;='Reference Data sheet'!$B199,'Reference Data sheet'!$C199,IF(AVERAGE(AU12:AU14)&lt;='Reference Data sheet'!$B200,'Reference Data sheet'!$C200,'Reference Data sheet'!$C201)))</f>
        <v>0.6</v>
      </c>
      <c r="AV41" s="18">
        <f>IF(AVERAGE(AV12:AV14)&lt;='Reference Data sheet'!$B198,'Reference Data sheet'!$C198,IF(AVERAGE(AV12:AV14)&lt;='Reference Data sheet'!$B199,'Reference Data sheet'!$C199,IF(AVERAGE(AV12:AV14)&lt;='Reference Data sheet'!$B200,'Reference Data sheet'!$C200,'Reference Data sheet'!$C201)))</f>
        <v>0.6</v>
      </c>
      <c r="AW41" s="18">
        <f>IF(AVERAGE(AW12:AW14)&lt;='Reference Data sheet'!$B198,'Reference Data sheet'!$C198,IF(AVERAGE(AW12:AW14)&lt;='Reference Data sheet'!$B199,'Reference Data sheet'!$C199,IF(AVERAGE(AW12:AW14)&lt;='Reference Data sheet'!$B200,'Reference Data sheet'!$C200,'Reference Data sheet'!$C201)))</f>
        <v>0.6</v>
      </c>
      <c r="AX41" s="18">
        <f>IF(AVERAGE(AX12:AX14)&lt;='Reference Data sheet'!$B198,'Reference Data sheet'!$C198,IF(AVERAGE(AX12:AX14)&lt;='Reference Data sheet'!$B199,'Reference Data sheet'!$C199,IF(AVERAGE(AX12:AX14)&lt;='Reference Data sheet'!$B200,'Reference Data sheet'!$C200,'Reference Data sheet'!$C201)))</f>
        <v>0.6</v>
      </c>
      <c r="AY41" s="18">
        <f>IF(AVERAGE(AY12:AY14)&lt;='Reference Data sheet'!$B198,'Reference Data sheet'!$C198,IF(AVERAGE(AY12:AY14)&lt;='Reference Data sheet'!$B199,'Reference Data sheet'!$C199,IF(AVERAGE(AY12:AY14)&lt;='Reference Data sheet'!$B200,'Reference Data sheet'!$C200,'Reference Data sheet'!$C201)))</f>
        <v>0.6</v>
      </c>
      <c r="AZ41" s="18">
        <f>IF(AVERAGE(AZ12:AZ14)&lt;='Reference Data sheet'!$B198,'Reference Data sheet'!$C198,IF(AVERAGE(AZ12:AZ14)&lt;='Reference Data sheet'!$B199,'Reference Data sheet'!$C199,IF(AVERAGE(AZ12:AZ14)&lt;='Reference Data sheet'!$B200,'Reference Data sheet'!$C200,'Reference Data sheet'!$C201)))</f>
        <v>0.6</v>
      </c>
      <c r="BA41" s="18">
        <f>IF(AVERAGE(BA12:BA14)&lt;='Reference Data sheet'!$B198,'Reference Data sheet'!$C198,IF(AVERAGE(BA12:BA14)&lt;='Reference Data sheet'!$B199,'Reference Data sheet'!$C199,IF(AVERAGE(BA12:BA14)&lt;='Reference Data sheet'!$B200,'Reference Data sheet'!$C200,'Reference Data sheet'!$C201)))</f>
        <v>0.6</v>
      </c>
      <c r="BB41" s="18">
        <f>IF(AVERAGE(BB12:BB14)&lt;='Reference Data sheet'!$B198,'Reference Data sheet'!$C198,IF(AVERAGE(BB12:BB14)&lt;='Reference Data sheet'!$B199,'Reference Data sheet'!$C199,IF(AVERAGE(BB12:BB14)&lt;='Reference Data sheet'!$B200,'Reference Data sheet'!$C200,'Reference Data sheet'!$C201)))</f>
        <v>0.6</v>
      </c>
      <c r="BC41" s="18">
        <f>IF(AVERAGE(BC12:BC14)&lt;='Reference Data sheet'!$B198,'Reference Data sheet'!$C198,IF(AVERAGE(BC12:BC14)&lt;='Reference Data sheet'!$B199,'Reference Data sheet'!$C199,IF(AVERAGE(BC12:BC14)&lt;='Reference Data sheet'!$B200,'Reference Data sheet'!$C200,'Reference Data sheet'!$C201)))</f>
        <v>0.6</v>
      </c>
      <c r="BD41" s="18">
        <f>IF(AVERAGE(BD12:BD14)&lt;='Reference Data sheet'!$B198,'Reference Data sheet'!$C198,IF(AVERAGE(BD12:BD14)&lt;='Reference Data sheet'!$B199,'Reference Data sheet'!$C199,IF(AVERAGE(BD12:BD14)&lt;='Reference Data sheet'!$B200,'Reference Data sheet'!$C200,'Reference Data sheet'!$C201)))</f>
        <v>0.6</v>
      </c>
      <c r="BE41" s="18">
        <f>IF(AVERAGE(BE12:BE14)&lt;='Reference Data sheet'!$B198,'Reference Data sheet'!$C198,IF(AVERAGE(BE12:BE14)&lt;='Reference Data sheet'!$B199,'Reference Data sheet'!$C199,IF(AVERAGE(BE12:BE14)&lt;='Reference Data sheet'!$B200,'Reference Data sheet'!$C200,'Reference Data sheet'!$C201)))</f>
        <v>0.6</v>
      </c>
      <c r="BF41" s="18">
        <f>IF(AVERAGE(BF12:BF14)&lt;='Reference Data sheet'!$B198,'Reference Data sheet'!$C198,IF(AVERAGE(BF12:BF14)&lt;='Reference Data sheet'!$B199,'Reference Data sheet'!$C199,IF(AVERAGE(BF12:BF14)&lt;='Reference Data sheet'!$B200,'Reference Data sheet'!$C200,'Reference Data sheet'!$C201)))</f>
        <v>0.6</v>
      </c>
      <c r="BG41" s="18">
        <f>IF(AVERAGE(BG12:BG14)&lt;='Reference Data sheet'!$B198,'Reference Data sheet'!$C198,IF(AVERAGE(BG12:BG14)&lt;='Reference Data sheet'!$B199,'Reference Data sheet'!$C199,IF(AVERAGE(BG12:BG14)&lt;='Reference Data sheet'!$B200,'Reference Data sheet'!$C200,'Reference Data sheet'!$C201)))</f>
        <v>0.6</v>
      </c>
      <c r="BH41" s="18">
        <f>IF(AVERAGE(BH12:BH14)&lt;='Reference Data sheet'!$B198,'Reference Data sheet'!$C198,IF(AVERAGE(BH12:BH14)&lt;='Reference Data sheet'!$B199,'Reference Data sheet'!$C199,IF(AVERAGE(BH12:BH14)&lt;='Reference Data sheet'!$B200,'Reference Data sheet'!$C200,'Reference Data sheet'!$C201)))</f>
        <v>0.6</v>
      </c>
      <c r="BI41" s="18">
        <f>IF(AVERAGE(BI12:BI14)&lt;='Reference Data sheet'!$B198,'Reference Data sheet'!$C198,IF(AVERAGE(BI12:BI14)&lt;='Reference Data sheet'!$B199,'Reference Data sheet'!$C199,IF(AVERAGE(BI12:BI14)&lt;='Reference Data sheet'!$B200,'Reference Data sheet'!$C200,'Reference Data sheet'!$C201)))</f>
        <v>0.6</v>
      </c>
      <c r="BJ41" s="2" t="s">
        <v>82</v>
      </c>
    </row>
    <row r="42" spans="1:62" x14ac:dyDescent="0.3">
      <c r="A42" s="2" t="s">
        <v>85</v>
      </c>
      <c r="B42" s="18">
        <f>IF(B24&lt;='Reference Data sheet'!$B208,'Reference Data sheet'!$C208,IF(B24&lt;='Reference Data sheet'!$B209,'Reference Data sheet'!$C209,'Reference Data sheet'!$C210))</f>
        <v>0</v>
      </c>
      <c r="C42" s="18">
        <f>IF(C24&lt;='Reference Data sheet'!$B208,'Reference Data sheet'!$C208,IF(C24&lt;='Reference Data sheet'!$B209,'Reference Data sheet'!$C209,'Reference Data sheet'!$C210))</f>
        <v>0</v>
      </c>
      <c r="D42" s="18">
        <f>IF(D24&lt;='Reference Data sheet'!$B208,'Reference Data sheet'!$C208,IF(D24&lt;='Reference Data sheet'!$B209,'Reference Data sheet'!$C209,'Reference Data sheet'!$C210))</f>
        <v>0</v>
      </c>
      <c r="E42" s="18">
        <f>IF(E24&lt;='Reference Data sheet'!$B208,'Reference Data sheet'!$C208,IF(E24&lt;='Reference Data sheet'!$B209,'Reference Data sheet'!$C209,'Reference Data sheet'!$C210))</f>
        <v>-0.3</v>
      </c>
      <c r="F42" s="18">
        <f>IF(F24&lt;='Reference Data sheet'!$B208,'Reference Data sheet'!$C208,IF(F24&lt;='Reference Data sheet'!$B209,'Reference Data sheet'!$C209,'Reference Data sheet'!$C210))</f>
        <v>-0.3</v>
      </c>
      <c r="G42" s="18">
        <f>IF(G24&lt;='Reference Data sheet'!$B208,'Reference Data sheet'!$C208,IF(G24&lt;='Reference Data sheet'!$B209,'Reference Data sheet'!$C209,'Reference Data sheet'!$C210))</f>
        <v>-0.6</v>
      </c>
      <c r="H42" s="18">
        <f>IF(H24&lt;='Reference Data sheet'!$B208,'Reference Data sheet'!$C208,IF(H24&lt;='Reference Data sheet'!$B209,'Reference Data sheet'!$C209,'Reference Data sheet'!$C210))</f>
        <v>-0.3</v>
      </c>
      <c r="I42" s="18">
        <f>IF(I24&lt;='Reference Data sheet'!$B208,'Reference Data sheet'!$C208,IF(I24&lt;='Reference Data sheet'!$B209,'Reference Data sheet'!$C209,'Reference Data sheet'!$C210))</f>
        <v>-0.3</v>
      </c>
      <c r="J42" s="18">
        <f>IF(J24&lt;='Reference Data sheet'!$B208,'Reference Data sheet'!$C208,IF(J24&lt;='Reference Data sheet'!$B209,'Reference Data sheet'!$C209,'Reference Data sheet'!$C210))</f>
        <v>0</v>
      </c>
      <c r="K42" s="18">
        <f>IF(K24&lt;='Reference Data sheet'!$B208,'Reference Data sheet'!$C208,IF(K24&lt;='Reference Data sheet'!$B209,'Reference Data sheet'!$C209,'Reference Data sheet'!$C210))</f>
        <v>-0.3</v>
      </c>
      <c r="L42" s="18">
        <f>IF(L24&lt;='Reference Data sheet'!$B208,'Reference Data sheet'!$C208,IF(L24&lt;='Reference Data sheet'!$B209,'Reference Data sheet'!$C209,'Reference Data sheet'!$C210))</f>
        <v>0</v>
      </c>
      <c r="M42" s="18">
        <f>IF(M24&lt;='Reference Data sheet'!$B208,'Reference Data sheet'!$C208,IF(M24&lt;='Reference Data sheet'!$B209,'Reference Data sheet'!$C209,'Reference Data sheet'!$C210))</f>
        <v>0</v>
      </c>
      <c r="N42" s="18">
        <f>IF(N24&lt;='Reference Data sheet'!$B208,'Reference Data sheet'!$C208,IF(N24&lt;='Reference Data sheet'!$B209,'Reference Data sheet'!$C209,'Reference Data sheet'!$C210))</f>
        <v>-0.3</v>
      </c>
      <c r="O42" s="18">
        <f>IF(O24&lt;='Reference Data sheet'!$B208,'Reference Data sheet'!$C208,IF(O24&lt;='Reference Data sheet'!$B209,'Reference Data sheet'!$C209,'Reference Data sheet'!$C210))</f>
        <v>0</v>
      </c>
      <c r="P42" s="18">
        <f>IF(P24&lt;='Reference Data sheet'!$B208,'Reference Data sheet'!$C208,IF(P24&lt;='Reference Data sheet'!$B209,'Reference Data sheet'!$C209,'Reference Data sheet'!$C210))</f>
        <v>-0.3</v>
      </c>
      <c r="Q42" s="18">
        <f>IF(Q24&lt;='Reference Data sheet'!$B208,'Reference Data sheet'!$C208,IF(Q24&lt;='Reference Data sheet'!$B209,'Reference Data sheet'!$C209,'Reference Data sheet'!$C210))</f>
        <v>-0.3</v>
      </c>
      <c r="R42" s="18">
        <f>IF(R24&lt;='Reference Data sheet'!$B208,'Reference Data sheet'!$C208,IF(R24&lt;='Reference Data sheet'!$B209,'Reference Data sheet'!$C209,'Reference Data sheet'!$C210))</f>
        <v>0</v>
      </c>
      <c r="S42" s="18">
        <f>IF(S24&lt;='Reference Data sheet'!$B208,'Reference Data sheet'!$C208,IF(S24&lt;='Reference Data sheet'!$B209,'Reference Data sheet'!$C209,'Reference Data sheet'!$C210))</f>
        <v>-0.6</v>
      </c>
      <c r="T42" s="18">
        <f>IF(T24&lt;='Reference Data sheet'!$B208,'Reference Data sheet'!$C208,IF(T24&lt;='Reference Data sheet'!$B209,'Reference Data sheet'!$C209,'Reference Data sheet'!$C210))</f>
        <v>0</v>
      </c>
      <c r="U42" s="18">
        <f>IF(U24&lt;='Reference Data sheet'!$B208,'Reference Data sheet'!$C208,IF(U24&lt;='Reference Data sheet'!$B209,'Reference Data sheet'!$C209,'Reference Data sheet'!$C210))</f>
        <v>-0.3</v>
      </c>
      <c r="V42" s="18">
        <f>IF(V24&lt;='Reference Data sheet'!$B208,'Reference Data sheet'!$C208,IF(V24&lt;='Reference Data sheet'!$B209,'Reference Data sheet'!$C209,'Reference Data sheet'!$C210))</f>
        <v>0</v>
      </c>
      <c r="W42" s="18">
        <f>IF(W24&lt;='Reference Data sheet'!$B208,'Reference Data sheet'!$C208,IF(W24&lt;='Reference Data sheet'!$B209,'Reference Data sheet'!$C209,'Reference Data sheet'!$C210))</f>
        <v>0</v>
      </c>
      <c r="X42" s="18">
        <f>IF(X24&lt;='Reference Data sheet'!$B208,'Reference Data sheet'!$C208,IF(X24&lt;='Reference Data sheet'!$B209,'Reference Data sheet'!$C209,'Reference Data sheet'!$C210))</f>
        <v>-0.3</v>
      </c>
      <c r="Y42" s="18">
        <f>IF(Y24&lt;='Reference Data sheet'!$B208,'Reference Data sheet'!$C208,IF(Y24&lt;='Reference Data sheet'!$B209,'Reference Data sheet'!$C209,'Reference Data sheet'!$C210))</f>
        <v>-0.6</v>
      </c>
      <c r="Z42" s="18">
        <f>IF(Z24&lt;='Reference Data sheet'!$B208,'Reference Data sheet'!$C208,IF(Z24&lt;='Reference Data sheet'!$B209,'Reference Data sheet'!$C209,'Reference Data sheet'!$C210))</f>
        <v>-0.6</v>
      </c>
      <c r="AA42" s="18">
        <f>IF(AA24&lt;='Reference Data sheet'!$B208,'Reference Data sheet'!$C208,IF(AA24&lt;='Reference Data sheet'!$B209,'Reference Data sheet'!$C209,'Reference Data sheet'!$C210))</f>
        <v>-0.3</v>
      </c>
      <c r="AB42" s="18">
        <f>IF(AB24&lt;='Reference Data sheet'!$B208,'Reference Data sheet'!$C208,IF(AB24&lt;='Reference Data sheet'!$B209,'Reference Data sheet'!$C209,'Reference Data sheet'!$C210))</f>
        <v>0</v>
      </c>
      <c r="AC42" s="18">
        <f>IF(AC24&lt;='Reference Data sheet'!$B208,'Reference Data sheet'!$C208,IF(AC24&lt;='Reference Data sheet'!$B209,'Reference Data sheet'!$C209,'Reference Data sheet'!$C210))</f>
        <v>0</v>
      </c>
      <c r="AD42" s="18">
        <f>IF(AD24&lt;='Reference Data sheet'!$B208,'Reference Data sheet'!$C208,IF(AD24&lt;='Reference Data sheet'!$B209,'Reference Data sheet'!$C209,'Reference Data sheet'!$C210))</f>
        <v>-0.3</v>
      </c>
      <c r="AE42" s="18">
        <f>IF(AE24&lt;='Reference Data sheet'!$B208,'Reference Data sheet'!$C208,IF(AE24&lt;='Reference Data sheet'!$B209,'Reference Data sheet'!$C209,'Reference Data sheet'!$C210))</f>
        <v>-0.3</v>
      </c>
      <c r="AF42" s="18">
        <f>IF(AF24&lt;='Reference Data sheet'!$B208,'Reference Data sheet'!$C208,IF(AF24&lt;='Reference Data sheet'!$B209,'Reference Data sheet'!$C209,'Reference Data sheet'!$C210))</f>
        <v>0</v>
      </c>
      <c r="AG42" s="18">
        <f>IF(AG24&lt;='Reference Data sheet'!$B208,'Reference Data sheet'!$C208,IF(AG24&lt;='Reference Data sheet'!$B209,'Reference Data sheet'!$C209,'Reference Data sheet'!$C210))</f>
        <v>-0.3</v>
      </c>
      <c r="AH42" s="18">
        <f>IF(AH24&lt;='Reference Data sheet'!$B208,'Reference Data sheet'!$C208,IF(AH24&lt;='Reference Data sheet'!$B209,'Reference Data sheet'!$C209,'Reference Data sheet'!$C210))</f>
        <v>-0.3</v>
      </c>
      <c r="AI42" s="18">
        <f>IF(AI24&lt;='Reference Data sheet'!$B208,'Reference Data sheet'!$C208,IF(AI24&lt;='Reference Data sheet'!$B209,'Reference Data sheet'!$C209,'Reference Data sheet'!$C210))</f>
        <v>0</v>
      </c>
      <c r="AJ42" s="18">
        <f>IF(AJ24&lt;='Reference Data sheet'!$B208,'Reference Data sheet'!$C208,IF(AJ24&lt;='Reference Data sheet'!$B209,'Reference Data sheet'!$C209,'Reference Data sheet'!$C210))</f>
        <v>-0.6</v>
      </c>
      <c r="AK42" s="18">
        <f>IF(AK24&lt;='Reference Data sheet'!$B208,'Reference Data sheet'!$C208,IF(AK24&lt;='Reference Data sheet'!$B209,'Reference Data sheet'!$C209,'Reference Data sheet'!$C210))</f>
        <v>-0.3</v>
      </c>
      <c r="AL42" s="18">
        <f>IF(AL24&lt;='Reference Data sheet'!$B208,'Reference Data sheet'!$C208,IF(AL24&lt;='Reference Data sheet'!$B209,'Reference Data sheet'!$C209,'Reference Data sheet'!$C210))</f>
        <v>0</v>
      </c>
      <c r="AM42" s="18">
        <f>IF(AM24&lt;='Reference Data sheet'!$B208,'Reference Data sheet'!$C208,IF(AM24&lt;='Reference Data sheet'!$B209,'Reference Data sheet'!$C209,'Reference Data sheet'!$C210))</f>
        <v>-0.3</v>
      </c>
      <c r="AN42" s="18">
        <f>IF(AN24&lt;='Reference Data sheet'!$B208,'Reference Data sheet'!$C208,IF(AN24&lt;='Reference Data sheet'!$B209,'Reference Data sheet'!$C209,'Reference Data sheet'!$C210))</f>
        <v>0</v>
      </c>
      <c r="AO42" s="18">
        <f>IF(AO24&lt;='Reference Data sheet'!$B208,'Reference Data sheet'!$C208,IF(AO24&lt;='Reference Data sheet'!$B209,'Reference Data sheet'!$C209,'Reference Data sheet'!$C210))</f>
        <v>-0.3</v>
      </c>
      <c r="AP42" s="18">
        <f>IF(AP24&lt;='Reference Data sheet'!$B208,'Reference Data sheet'!$C208,IF(AP24&lt;='Reference Data sheet'!$B209,'Reference Data sheet'!$C209,'Reference Data sheet'!$C210))</f>
        <v>-0.3</v>
      </c>
      <c r="AQ42" s="18">
        <f>IF(AQ24&lt;='Reference Data sheet'!$B208,'Reference Data sheet'!$C208,IF(AQ24&lt;='Reference Data sheet'!$B209,'Reference Data sheet'!$C209,'Reference Data sheet'!$C210))</f>
        <v>-0.6</v>
      </c>
      <c r="AR42" s="18">
        <f>IF(AR24&lt;='Reference Data sheet'!$B208,'Reference Data sheet'!$C208,IF(AR24&lt;='Reference Data sheet'!$B209,'Reference Data sheet'!$C209,'Reference Data sheet'!$C210))</f>
        <v>-0.3</v>
      </c>
      <c r="AS42" s="18">
        <f>IF(AS24&lt;='Reference Data sheet'!$B208,'Reference Data sheet'!$C208,IF(AS24&lt;='Reference Data sheet'!$B209,'Reference Data sheet'!$C209,'Reference Data sheet'!$C210))</f>
        <v>-0.3</v>
      </c>
      <c r="AT42" s="18">
        <f>IF(AT24&lt;='Reference Data sheet'!$B208,'Reference Data sheet'!$C208,IF(AT24&lt;='Reference Data sheet'!$B209,'Reference Data sheet'!$C209,'Reference Data sheet'!$C210))</f>
        <v>-0.3</v>
      </c>
      <c r="AU42" s="18">
        <f>IF(AU24&lt;='Reference Data sheet'!$B208,'Reference Data sheet'!$C208,IF(AU24&lt;='Reference Data sheet'!$B209,'Reference Data sheet'!$C209,'Reference Data sheet'!$C210))</f>
        <v>0</v>
      </c>
      <c r="AV42" s="18">
        <f>IF(AV24&lt;='Reference Data sheet'!$B208,'Reference Data sheet'!$C208,IF(AV24&lt;='Reference Data sheet'!$B209,'Reference Data sheet'!$C209,'Reference Data sheet'!$C210))</f>
        <v>0</v>
      </c>
      <c r="AW42" s="18">
        <f>IF(AW24&lt;='Reference Data sheet'!$B208,'Reference Data sheet'!$C208,IF(AW24&lt;='Reference Data sheet'!$B209,'Reference Data sheet'!$C209,'Reference Data sheet'!$C210))</f>
        <v>0</v>
      </c>
      <c r="AX42" s="18">
        <f>IF(AX24&lt;='Reference Data sheet'!$B208,'Reference Data sheet'!$C208,IF(AX24&lt;='Reference Data sheet'!$B209,'Reference Data sheet'!$C209,'Reference Data sheet'!$C210))</f>
        <v>-0.3</v>
      </c>
      <c r="AY42" s="18">
        <f>IF(AY24&lt;='Reference Data sheet'!$B208,'Reference Data sheet'!$C208,IF(AY24&lt;='Reference Data sheet'!$B209,'Reference Data sheet'!$C209,'Reference Data sheet'!$C210))</f>
        <v>0</v>
      </c>
      <c r="AZ42" s="18">
        <f>IF(AZ24&lt;='Reference Data sheet'!$B208,'Reference Data sheet'!$C208,IF(AZ24&lt;='Reference Data sheet'!$B209,'Reference Data sheet'!$C209,'Reference Data sheet'!$C210))</f>
        <v>0</v>
      </c>
      <c r="BA42" s="18">
        <f>IF(BA24&lt;='Reference Data sheet'!$B208,'Reference Data sheet'!$C208,IF(BA24&lt;='Reference Data sheet'!$B209,'Reference Data sheet'!$C209,'Reference Data sheet'!$C210))</f>
        <v>-0.3</v>
      </c>
      <c r="BB42" s="18">
        <f>IF(BB24&lt;='Reference Data sheet'!$B208,'Reference Data sheet'!$C208,IF(BB24&lt;='Reference Data sheet'!$B209,'Reference Data sheet'!$C209,'Reference Data sheet'!$C210))</f>
        <v>-0.3</v>
      </c>
      <c r="BC42" s="18">
        <f>IF(BC24&lt;='Reference Data sheet'!$B208,'Reference Data sheet'!$C208,IF(BC24&lt;='Reference Data sheet'!$B209,'Reference Data sheet'!$C209,'Reference Data sheet'!$C210))</f>
        <v>-0.6</v>
      </c>
      <c r="BD42" s="18">
        <f>IF(BD24&lt;='Reference Data sheet'!$B208,'Reference Data sheet'!$C208,IF(BD24&lt;='Reference Data sheet'!$B209,'Reference Data sheet'!$C209,'Reference Data sheet'!$C210))</f>
        <v>-0.6</v>
      </c>
      <c r="BE42" s="18">
        <f>IF(BE24&lt;='Reference Data sheet'!$B208,'Reference Data sheet'!$C208,IF(BE24&lt;='Reference Data sheet'!$B209,'Reference Data sheet'!$C209,'Reference Data sheet'!$C210))</f>
        <v>-0.3</v>
      </c>
      <c r="BF42" s="18">
        <f>IF(BF24&lt;='Reference Data sheet'!$B208,'Reference Data sheet'!$C208,IF(BF24&lt;='Reference Data sheet'!$B209,'Reference Data sheet'!$C209,'Reference Data sheet'!$C210))</f>
        <v>0</v>
      </c>
      <c r="BG42" s="18">
        <f>IF(BG24&lt;='Reference Data sheet'!$B208,'Reference Data sheet'!$C208,IF(BG24&lt;='Reference Data sheet'!$B209,'Reference Data sheet'!$C209,'Reference Data sheet'!$C210))</f>
        <v>-0.6</v>
      </c>
      <c r="BH42" s="18">
        <f>IF(BH24&lt;='Reference Data sheet'!$B208,'Reference Data sheet'!$C208,IF(BH24&lt;='Reference Data sheet'!$B209,'Reference Data sheet'!$C209,'Reference Data sheet'!$C210))</f>
        <v>-0.3</v>
      </c>
      <c r="BI42" s="18">
        <f>IF(BI24&lt;='Reference Data sheet'!$B208,'Reference Data sheet'!$C208,IF(BI24&lt;='Reference Data sheet'!$B209,'Reference Data sheet'!$C209,'Reference Data sheet'!$C210))</f>
        <v>-0.3</v>
      </c>
      <c r="BJ42" s="2" t="s">
        <v>87</v>
      </c>
    </row>
    <row r="43" spans="1:62" x14ac:dyDescent="0.3">
      <c r="A43" s="2" t="s">
        <v>36</v>
      </c>
      <c r="B43" s="21">
        <f>MAX(0.5,MIN(B39+B40+B41+B42,B39+2))</f>
        <v>11.799999999999999</v>
      </c>
      <c r="C43" s="21">
        <f t="shared" ref="C43:BI43" si="70">MAX(0.5,MIN(C39+C40+C41+C42,C39+2))</f>
        <v>15.799999999999999</v>
      </c>
      <c r="D43" s="21">
        <f t="shared" si="70"/>
        <v>12.299999999999999</v>
      </c>
      <c r="E43" s="21">
        <f t="shared" si="70"/>
        <v>22</v>
      </c>
      <c r="F43" s="21">
        <f t="shared" si="70"/>
        <v>10.999999999999998</v>
      </c>
      <c r="G43" s="21">
        <f t="shared" si="70"/>
        <v>7.7000000000000011</v>
      </c>
      <c r="H43" s="21">
        <f t="shared" si="70"/>
        <v>13.499999999999998</v>
      </c>
      <c r="I43" s="21">
        <f t="shared" si="70"/>
        <v>13.499999999999998</v>
      </c>
      <c r="J43" s="21">
        <f t="shared" si="70"/>
        <v>12.799999999999999</v>
      </c>
      <c r="K43" s="21">
        <f t="shared" si="70"/>
        <v>10.499999999999998</v>
      </c>
      <c r="L43" s="21">
        <f t="shared" si="70"/>
        <v>11.299999999999999</v>
      </c>
      <c r="M43" s="21">
        <f t="shared" si="70"/>
        <v>10.799999999999999</v>
      </c>
      <c r="N43" s="21">
        <f t="shared" si="70"/>
        <v>10.499999999999998</v>
      </c>
      <c r="O43" s="21">
        <f t="shared" si="70"/>
        <v>22.3</v>
      </c>
      <c r="P43" s="21">
        <f t="shared" si="70"/>
        <v>13.499999999999998</v>
      </c>
      <c r="Q43" s="21">
        <f t="shared" si="70"/>
        <v>13.499999999999998</v>
      </c>
      <c r="R43" s="21">
        <f t="shared" si="70"/>
        <v>18.3</v>
      </c>
      <c r="S43" s="21">
        <f t="shared" si="70"/>
        <v>12.2</v>
      </c>
      <c r="T43" s="21">
        <f t="shared" si="70"/>
        <v>9.7999999999999989</v>
      </c>
      <c r="U43" s="21">
        <f t="shared" si="70"/>
        <v>8</v>
      </c>
      <c r="V43" s="21">
        <f t="shared" si="70"/>
        <v>10.799999999999999</v>
      </c>
      <c r="W43" s="21">
        <f t="shared" si="70"/>
        <v>10.799999999999999</v>
      </c>
      <c r="X43" s="21">
        <f t="shared" si="70"/>
        <v>13.499999999999998</v>
      </c>
      <c r="Y43" s="21">
        <f t="shared" si="70"/>
        <v>9.1999999999999993</v>
      </c>
      <c r="Z43" s="21">
        <f t="shared" si="70"/>
        <v>9.1</v>
      </c>
      <c r="AA43" s="21">
        <f t="shared" si="70"/>
        <v>12.999999999999998</v>
      </c>
      <c r="AB43" s="21">
        <f t="shared" si="70"/>
        <v>12.299999999999999</v>
      </c>
      <c r="AC43" s="21">
        <f t="shared" si="70"/>
        <v>10.299999999999999</v>
      </c>
      <c r="AD43" s="21">
        <f t="shared" si="70"/>
        <v>11.999999999999998</v>
      </c>
      <c r="AE43" s="21">
        <f t="shared" si="70"/>
        <v>15.499999999999998</v>
      </c>
      <c r="AF43" s="21">
        <f t="shared" si="70"/>
        <v>13.299999999999999</v>
      </c>
      <c r="AG43" s="21">
        <f t="shared" si="70"/>
        <v>15.499999999999998</v>
      </c>
      <c r="AH43" s="21">
        <f t="shared" si="70"/>
        <v>10.399999999999999</v>
      </c>
      <c r="AI43" s="21">
        <f t="shared" si="70"/>
        <v>15.6</v>
      </c>
      <c r="AJ43" s="21">
        <f t="shared" si="70"/>
        <v>9</v>
      </c>
      <c r="AK43" s="21">
        <f t="shared" si="70"/>
        <v>12.799999999999999</v>
      </c>
      <c r="AL43" s="21">
        <f t="shared" si="70"/>
        <v>13.1</v>
      </c>
      <c r="AM43" s="21">
        <f t="shared" si="70"/>
        <v>15.299999999999999</v>
      </c>
      <c r="AN43" s="21">
        <f t="shared" si="70"/>
        <v>13.299999999999999</v>
      </c>
      <c r="AO43" s="21">
        <f t="shared" si="70"/>
        <v>11.999999999999998</v>
      </c>
      <c r="AP43" s="21">
        <f t="shared" si="70"/>
        <v>8</v>
      </c>
      <c r="AQ43" s="21">
        <f t="shared" si="70"/>
        <v>7.7000000000000011</v>
      </c>
      <c r="AR43" s="21">
        <f t="shared" si="70"/>
        <v>12.499999999999998</v>
      </c>
      <c r="AS43" s="21">
        <f t="shared" si="70"/>
        <v>13.499999999999998</v>
      </c>
      <c r="AT43" s="21">
        <f t="shared" si="70"/>
        <v>11.7</v>
      </c>
      <c r="AU43" s="21">
        <f t="shared" si="70"/>
        <v>12.299999999999999</v>
      </c>
      <c r="AV43" s="21">
        <f t="shared" si="70"/>
        <v>12.299999999999999</v>
      </c>
      <c r="AW43" s="21">
        <f t="shared" si="70"/>
        <v>12.299999999999999</v>
      </c>
      <c r="AX43" s="21">
        <f t="shared" si="70"/>
        <v>11.999999999999998</v>
      </c>
      <c r="AY43" s="21">
        <f t="shared" si="70"/>
        <v>12.299999999999999</v>
      </c>
      <c r="AZ43" s="21">
        <f t="shared" si="70"/>
        <v>22.3</v>
      </c>
      <c r="BA43" s="21">
        <f t="shared" si="70"/>
        <v>15.499999999999998</v>
      </c>
      <c r="BB43" s="21">
        <f t="shared" si="70"/>
        <v>12.299999999999999</v>
      </c>
      <c r="BC43" s="21">
        <f t="shared" si="70"/>
        <v>12.6</v>
      </c>
      <c r="BD43" s="21">
        <f t="shared" si="70"/>
        <v>10.199999999999999</v>
      </c>
      <c r="BE43" s="21">
        <f t="shared" si="70"/>
        <v>10.299999999999999</v>
      </c>
      <c r="BF43" s="21">
        <f t="shared" si="70"/>
        <v>10.299999999999999</v>
      </c>
      <c r="BG43" s="21">
        <f t="shared" si="70"/>
        <v>9.6999999999999993</v>
      </c>
      <c r="BH43" s="21">
        <f t="shared" si="70"/>
        <v>10.399999999999999</v>
      </c>
      <c r="BI43" s="21">
        <f t="shared" si="70"/>
        <v>12.1</v>
      </c>
    </row>
    <row r="44" spans="1:62" x14ac:dyDescent="0.3">
      <c r="A44" s="2" t="s">
        <v>93</v>
      </c>
      <c r="B44" s="34" t="str">
        <f>ROUND((0.6*B17+0.4*B21)/1000,0)&amp;"k EUR"</f>
        <v>87772800k EUR</v>
      </c>
      <c r="C44" s="34" t="str">
        <f t="shared" ref="C44:BI44" si="71">ROUND((0.6*C17+0.4*C21)/1000,0)&amp;"k EUR"</f>
        <v>81149600k EUR</v>
      </c>
      <c r="D44" s="34" t="str">
        <f t="shared" si="71"/>
        <v>31727400k EUR</v>
      </c>
      <c r="E44" s="34" t="str">
        <f t="shared" si="71"/>
        <v>70637600k EUR</v>
      </c>
      <c r="F44" s="34" t="str">
        <f t="shared" si="71"/>
        <v>41602600k EUR</v>
      </c>
      <c r="G44" s="34" t="str">
        <f t="shared" si="71"/>
        <v>8713800k EUR</v>
      </c>
      <c r="H44" s="34" t="str">
        <f t="shared" si="71"/>
        <v>17734400k EUR</v>
      </c>
      <c r="I44" s="34" t="str">
        <f t="shared" si="71"/>
        <v>14066000k EUR</v>
      </c>
      <c r="J44" s="34" t="str">
        <f t="shared" si="71"/>
        <v>10865600k EUR</v>
      </c>
      <c r="K44" s="34" t="str">
        <f t="shared" si="71"/>
        <v>6316200k EUR</v>
      </c>
      <c r="L44" s="34" t="str">
        <f t="shared" si="71"/>
        <v>5508200k EUR</v>
      </c>
      <c r="M44" s="34" t="str">
        <f t="shared" si="71"/>
        <v>7260000k EUR</v>
      </c>
      <c r="N44" s="34" t="str">
        <f t="shared" si="71"/>
        <v>7820000k EUR</v>
      </c>
      <c r="O44" s="34" t="str">
        <f t="shared" si="71"/>
        <v>14040000k EUR</v>
      </c>
      <c r="P44" s="34" t="str">
        <f t="shared" si="71"/>
        <v>11240000k EUR</v>
      </c>
      <c r="Q44" s="34" t="str">
        <f t="shared" si="71"/>
        <v>2700000k EUR</v>
      </c>
      <c r="R44" s="34" t="str">
        <f t="shared" si="71"/>
        <v>1300000k EUR</v>
      </c>
      <c r="S44" s="34" t="str">
        <f t="shared" si="71"/>
        <v>4480000k EUR</v>
      </c>
      <c r="T44" s="34" t="str">
        <f t="shared" si="71"/>
        <v>5740000k EUR</v>
      </c>
      <c r="U44" s="34" t="str">
        <f t="shared" si="71"/>
        <v>7880000k EUR</v>
      </c>
      <c r="V44" s="34" t="str">
        <f t="shared" si="71"/>
        <v>4180000k EUR</v>
      </c>
      <c r="W44" s="34" t="str">
        <f t="shared" si="71"/>
        <v>14260000k EUR</v>
      </c>
      <c r="X44" s="34" t="str">
        <f t="shared" si="71"/>
        <v>9824800k EUR</v>
      </c>
      <c r="Y44" s="34" t="str">
        <f t="shared" si="71"/>
        <v>19800600k EUR</v>
      </c>
      <c r="Z44" s="34" t="str">
        <f t="shared" si="71"/>
        <v>31439400k EUR</v>
      </c>
      <c r="AA44" s="34" t="str">
        <f t="shared" si="71"/>
        <v>4156200k EUR</v>
      </c>
      <c r="AB44" s="34" t="str">
        <f t="shared" si="71"/>
        <v>18520000k EUR</v>
      </c>
      <c r="AC44" s="34" t="str">
        <f t="shared" si="71"/>
        <v>2900000k EUR</v>
      </c>
      <c r="AD44" s="34" t="str">
        <f t="shared" si="71"/>
        <v>-100000k EUR</v>
      </c>
      <c r="AE44" s="34" t="str">
        <f t="shared" si="71"/>
        <v>9180000k EUR</v>
      </c>
      <c r="AF44" s="34" t="str">
        <f t="shared" si="71"/>
        <v>9049400k EUR</v>
      </c>
      <c r="AG44" s="34" t="str">
        <f t="shared" si="71"/>
        <v>7825400k EUR</v>
      </c>
      <c r="AH44" s="34" t="str">
        <f t="shared" si="71"/>
        <v>6753800k EUR</v>
      </c>
      <c r="AI44" s="34" t="str">
        <f t="shared" si="71"/>
        <v>18224000k EUR</v>
      </c>
      <c r="AJ44" s="34" t="str">
        <f t="shared" si="71"/>
        <v>34402000k EUR</v>
      </c>
      <c r="AK44" s="34" t="str">
        <f t="shared" si="71"/>
        <v>5680000k EUR</v>
      </c>
      <c r="AL44" s="34" t="str">
        <f t="shared" si="71"/>
        <v>7940000k EUR</v>
      </c>
      <c r="AM44" s="34" t="str">
        <f t="shared" si="71"/>
        <v>10120000k EUR</v>
      </c>
      <c r="AN44" s="34" t="str">
        <f t="shared" si="71"/>
        <v>13780000k EUR</v>
      </c>
      <c r="AO44" s="34" t="str">
        <f t="shared" si="71"/>
        <v>5480000k EUR</v>
      </c>
      <c r="AP44" s="34" t="str">
        <f t="shared" si="71"/>
        <v>15535800k EUR</v>
      </c>
      <c r="AQ44" s="34" t="str">
        <f t="shared" si="71"/>
        <v>21380000k EUR</v>
      </c>
      <c r="AR44" s="34" t="str">
        <f t="shared" si="71"/>
        <v>1794000k EUR</v>
      </c>
      <c r="AS44" s="34" t="str">
        <f t="shared" si="71"/>
        <v>3100000k EUR</v>
      </c>
      <c r="AT44" s="34" t="str">
        <f t="shared" si="71"/>
        <v>2380000k EUR</v>
      </c>
      <c r="AU44" s="34" t="str">
        <f t="shared" si="71"/>
        <v>5800000k EUR</v>
      </c>
      <c r="AV44" s="34" t="str">
        <f t="shared" si="71"/>
        <v>7420000k EUR</v>
      </c>
      <c r="AW44" s="34" t="str">
        <f t="shared" si="71"/>
        <v>3520000k EUR</v>
      </c>
      <c r="AX44" s="34" t="str">
        <f t="shared" si="71"/>
        <v>5200000k EUR</v>
      </c>
      <c r="AY44" s="34" t="str">
        <f t="shared" si="71"/>
        <v>7840000k EUR</v>
      </c>
      <c r="AZ44" s="34" t="str">
        <f t="shared" si="71"/>
        <v>2180000k EUR</v>
      </c>
      <c r="BA44" s="34" t="str">
        <f t="shared" si="71"/>
        <v>960000k EUR</v>
      </c>
      <c r="BB44" s="34" t="str">
        <f t="shared" si="71"/>
        <v>3060000k EUR</v>
      </c>
      <c r="BC44" s="34" t="str">
        <f t="shared" si="71"/>
        <v>4060000k EUR</v>
      </c>
      <c r="BD44" s="34" t="str">
        <f t="shared" si="71"/>
        <v>240000k EUR</v>
      </c>
      <c r="BE44" s="34" t="str">
        <f t="shared" si="71"/>
        <v>6160000k EUR</v>
      </c>
      <c r="BF44" s="34" t="str">
        <f t="shared" si="71"/>
        <v>2900000k EUR</v>
      </c>
      <c r="BG44" s="34" t="str">
        <f t="shared" si="71"/>
        <v>-700000k EUR</v>
      </c>
      <c r="BH44" s="34" t="str">
        <f t="shared" si="71"/>
        <v>1080000k EUR</v>
      </c>
      <c r="BI44" s="34" t="str">
        <f t="shared" si="71"/>
        <v>17300000k EUR</v>
      </c>
      <c r="BJ44" s="2" t="s">
        <v>105</v>
      </c>
    </row>
    <row r="45" spans="1:62" x14ac:dyDescent="0.3">
      <c r="A45" s="2" t="s">
        <v>94</v>
      </c>
      <c r="B45" s="34" t="str">
        <f>ROUND((0.6*B17+0.4*B21)/1000*0.85,0)&amp;"k EUR"</f>
        <v>74606880k EUR</v>
      </c>
      <c r="C45" s="34" t="str">
        <f t="shared" ref="C45:BI45" si="72">ROUND((0.6*C17+0.4*C21)/1000*0.85,0)&amp;"k EUR"</f>
        <v>68977160k EUR</v>
      </c>
      <c r="D45" s="34" t="str">
        <f t="shared" si="72"/>
        <v>26968290k EUR</v>
      </c>
      <c r="E45" s="34" t="str">
        <f t="shared" si="72"/>
        <v>60041960k EUR</v>
      </c>
      <c r="F45" s="34" t="str">
        <f t="shared" si="72"/>
        <v>35362210k EUR</v>
      </c>
      <c r="G45" s="34" t="str">
        <f t="shared" si="72"/>
        <v>7406730k EUR</v>
      </c>
      <c r="H45" s="34" t="str">
        <f t="shared" si="72"/>
        <v>15074240k EUR</v>
      </c>
      <c r="I45" s="34" t="str">
        <f t="shared" si="72"/>
        <v>11956100k EUR</v>
      </c>
      <c r="J45" s="34" t="str">
        <f t="shared" si="72"/>
        <v>9235760k EUR</v>
      </c>
      <c r="K45" s="34" t="str">
        <f t="shared" si="72"/>
        <v>5368770k EUR</v>
      </c>
      <c r="L45" s="34" t="str">
        <f t="shared" si="72"/>
        <v>4681970k EUR</v>
      </c>
      <c r="M45" s="34" t="str">
        <f t="shared" si="72"/>
        <v>6171000k EUR</v>
      </c>
      <c r="N45" s="34" t="str">
        <f t="shared" si="72"/>
        <v>6647000k EUR</v>
      </c>
      <c r="O45" s="34" t="str">
        <f t="shared" si="72"/>
        <v>11934000k EUR</v>
      </c>
      <c r="P45" s="34" t="str">
        <f t="shared" si="72"/>
        <v>9554000k EUR</v>
      </c>
      <c r="Q45" s="34" t="str">
        <f t="shared" si="72"/>
        <v>2295000k EUR</v>
      </c>
      <c r="R45" s="34" t="str">
        <f t="shared" si="72"/>
        <v>1105000k EUR</v>
      </c>
      <c r="S45" s="34" t="str">
        <f t="shared" si="72"/>
        <v>3808000k EUR</v>
      </c>
      <c r="T45" s="34" t="str">
        <f t="shared" si="72"/>
        <v>4879000k EUR</v>
      </c>
      <c r="U45" s="34" t="str">
        <f t="shared" si="72"/>
        <v>6698000k EUR</v>
      </c>
      <c r="V45" s="34" t="str">
        <f t="shared" si="72"/>
        <v>3553000k EUR</v>
      </c>
      <c r="W45" s="34" t="str">
        <f t="shared" si="72"/>
        <v>12121000k EUR</v>
      </c>
      <c r="X45" s="34" t="str">
        <f t="shared" si="72"/>
        <v>8351080k EUR</v>
      </c>
      <c r="Y45" s="34" t="str">
        <f t="shared" si="72"/>
        <v>16830510k EUR</v>
      </c>
      <c r="Z45" s="34" t="str">
        <f t="shared" si="72"/>
        <v>26723490k EUR</v>
      </c>
      <c r="AA45" s="34" t="str">
        <f t="shared" si="72"/>
        <v>3532770k EUR</v>
      </c>
      <c r="AB45" s="34" t="str">
        <f t="shared" si="72"/>
        <v>15742000k EUR</v>
      </c>
      <c r="AC45" s="34" t="str">
        <f t="shared" si="72"/>
        <v>2465000k EUR</v>
      </c>
      <c r="AD45" s="34" t="str">
        <f t="shared" si="72"/>
        <v>-85000k EUR</v>
      </c>
      <c r="AE45" s="34" t="str">
        <f t="shared" si="72"/>
        <v>7803000k EUR</v>
      </c>
      <c r="AF45" s="34" t="str">
        <f t="shared" si="72"/>
        <v>7691990k EUR</v>
      </c>
      <c r="AG45" s="34" t="str">
        <f t="shared" si="72"/>
        <v>6651590k EUR</v>
      </c>
      <c r="AH45" s="34" t="str">
        <f t="shared" si="72"/>
        <v>5740730k EUR</v>
      </c>
      <c r="AI45" s="34" t="str">
        <f t="shared" si="72"/>
        <v>15490400k EUR</v>
      </c>
      <c r="AJ45" s="34" t="str">
        <f t="shared" si="72"/>
        <v>29241700k EUR</v>
      </c>
      <c r="AK45" s="34" t="str">
        <f t="shared" si="72"/>
        <v>4828000k EUR</v>
      </c>
      <c r="AL45" s="34" t="str">
        <f t="shared" si="72"/>
        <v>6749000k EUR</v>
      </c>
      <c r="AM45" s="34" t="str">
        <f t="shared" si="72"/>
        <v>8602000k EUR</v>
      </c>
      <c r="AN45" s="34" t="str">
        <f t="shared" si="72"/>
        <v>11713000k EUR</v>
      </c>
      <c r="AO45" s="34" t="str">
        <f t="shared" si="72"/>
        <v>4658000k EUR</v>
      </c>
      <c r="AP45" s="34" t="str">
        <f t="shared" si="72"/>
        <v>13205430k EUR</v>
      </c>
      <c r="AQ45" s="34" t="str">
        <f t="shared" si="72"/>
        <v>18173000k EUR</v>
      </c>
      <c r="AR45" s="34" t="str">
        <f t="shared" si="72"/>
        <v>1524900k EUR</v>
      </c>
      <c r="AS45" s="34" t="str">
        <f t="shared" si="72"/>
        <v>2635000k EUR</v>
      </c>
      <c r="AT45" s="34" t="str">
        <f t="shared" si="72"/>
        <v>2023000k EUR</v>
      </c>
      <c r="AU45" s="34" t="str">
        <f t="shared" si="72"/>
        <v>4930000k EUR</v>
      </c>
      <c r="AV45" s="34" t="str">
        <f t="shared" si="72"/>
        <v>6307000k EUR</v>
      </c>
      <c r="AW45" s="34" t="str">
        <f t="shared" si="72"/>
        <v>2992000k EUR</v>
      </c>
      <c r="AX45" s="34" t="str">
        <f t="shared" si="72"/>
        <v>4420000k EUR</v>
      </c>
      <c r="AY45" s="34" t="str">
        <f t="shared" si="72"/>
        <v>6664000k EUR</v>
      </c>
      <c r="AZ45" s="34" t="str">
        <f t="shared" si="72"/>
        <v>1853000k EUR</v>
      </c>
      <c r="BA45" s="34" t="str">
        <f t="shared" si="72"/>
        <v>816000k EUR</v>
      </c>
      <c r="BB45" s="34" t="str">
        <f t="shared" si="72"/>
        <v>2601000k EUR</v>
      </c>
      <c r="BC45" s="34" t="str">
        <f t="shared" si="72"/>
        <v>3451000k EUR</v>
      </c>
      <c r="BD45" s="34" t="str">
        <f t="shared" si="72"/>
        <v>204000k EUR</v>
      </c>
      <c r="BE45" s="34" t="str">
        <f t="shared" si="72"/>
        <v>5236000k EUR</v>
      </c>
      <c r="BF45" s="34" t="str">
        <f t="shared" si="72"/>
        <v>2465000k EUR</v>
      </c>
      <c r="BG45" s="34" t="str">
        <f t="shared" si="72"/>
        <v>-595000k EUR</v>
      </c>
      <c r="BH45" s="34" t="str">
        <f t="shared" si="72"/>
        <v>918000k EUR</v>
      </c>
      <c r="BI45" s="34" t="str">
        <f t="shared" si="72"/>
        <v>14705000k EUR</v>
      </c>
      <c r="BJ45" s="2" t="s">
        <v>105</v>
      </c>
    </row>
    <row r="46" spans="1:62" ht="14.4" thickBot="1" x14ac:dyDescent="0.35">
      <c r="A46" s="30" t="s">
        <v>95</v>
      </c>
      <c r="B46" s="35" t="str">
        <f>ROUND((0.6*B17+0.4*B21)/1000*1.15,0)&amp;"k EUR"</f>
        <v>100938720k EUR</v>
      </c>
      <c r="C46" s="35" t="str">
        <f t="shared" ref="C46:BI46" si="73">ROUND((0.6*C17+0.4*C21)/1000*1.15,0)&amp;"k EUR"</f>
        <v>93322040k EUR</v>
      </c>
      <c r="D46" s="35" t="str">
        <f t="shared" si="73"/>
        <v>36486510k EUR</v>
      </c>
      <c r="E46" s="35" t="str">
        <f t="shared" si="73"/>
        <v>81233240k EUR</v>
      </c>
      <c r="F46" s="35" t="str">
        <f t="shared" si="73"/>
        <v>47842990k EUR</v>
      </c>
      <c r="G46" s="35" t="str">
        <f t="shared" si="73"/>
        <v>10020870k EUR</v>
      </c>
      <c r="H46" s="35" t="str">
        <f t="shared" si="73"/>
        <v>20394560k EUR</v>
      </c>
      <c r="I46" s="35" t="str">
        <f t="shared" si="73"/>
        <v>16175900k EUR</v>
      </c>
      <c r="J46" s="35" t="str">
        <f t="shared" si="73"/>
        <v>12495440k EUR</v>
      </c>
      <c r="K46" s="35" t="str">
        <f t="shared" si="73"/>
        <v>7263630k EUR</v>
      </c>
      <c r="L46" s="35" t="str">
        <f t="shared" si="73"/>
        <v>6334430k EUR</v>
      </c>
      <c r="M46" s="35" t="str">
        <f t="shared" si="73"/>
        <v>8349000k EUR</v>
      </c>
      <c r="N46" s="35" t="str">
        <f t="shared" si="73"/>
        <v>8993000k EUR</v>
      </c>
      <c r="O46" s="35" t="str">
        <f t="shared" si="73"/>
        <v>16146000k EUR</v>
      </c>
      <c r="P46" s="35" t="str">
        <f t="shared" si="73"/>
        <v>12926000k EUR</v>
      </c>
      <c r="Q46" s="35" t="str">
        <f t="shared" si="73"/>
        <v>3105000k EUR</v>
      </c>
      <c r="R46" s="35" t="str">
        <f t="shared" si="73"/>
        <v>1495000k EUR</v>
      </c>
      <c r="S46" s="35" t="str">
        <f t="shared" si="73"/>
        <v>5152000k EUR</v>
      </c>
      <c r="T46" s="35" t="str">
        <f t="shared" si="73"/>
        <v>6601000k EUR</v>
      </c>
      <c r="U46" s="35" t="str">
        <f t="shared" si="73"/>
        <v>9062000k EUR</v>
      </c>
      <c r="V46" s="35" t="str">
        <f t="shared" si="73"/>
        <v>4807000k EUR</v>
      </c>
      <c r="W46" s="35" t="str">
        <f t="shared" si="73"/>
        <v>16399000k EUR</v>
      </c>
      <c r="X46" s="35" t="str">
        <f t="shared" si="73"/>
        <v>11298520k EUR</v>
      </c>
      <c r="Y46" s="35" t="str">
        <f t="shared" si="73"/>
        <v>22770690k EUR</v>
      </c>
      <c r="Z46" s="35" t="str">
        <f t="shared" si="73"/>
        <v>36155310k EUR</v>
      </c>
      <c r="AA46" s="35" t="str">
        <f t="shared" si="73"/>
        <v>4779630k EUR</v>
      </c>
      <c r="AB46" s="35" t="str">
        <f t="shared" si="73"/>
        <v>21298000k EUR</v>
      </c>
      <c r="AC46" s="35" t="str">
        <f t="shared" si="73"/>
        <v>3335000k EUR</v>
      </c>
      <c r="AD46" s="35" t="str">
        <f t="shared" si="73"/>
        <v>-115000k EUR</v>
      </c>
      <c r="AE46" s="35" t="str">
        <f t="shared" si="73"/>
        <v>10557000k EUR</v>
      </c>
      <c r="AF46" s="35" t="str">
        <f t="shared" si="73"/>
        <v>10406810k EUR</v>
      </c>
      <c r="AG46" s="35" t="str">
        <f t="shared" si="73"/>
        <v>8999210k EUR</v>
      </c>
      <c r="AH46" s="35" t="str">
        <f t="shared" si="73"/>
        <v>7766870k EUR</v>
      </c>
      <c r="AI46" s="35" t="str">
        <f t="shared" si="73"/>
        <v>20957600k EUR</v>
      </c>
      <c r="AJ46" s="35" t="str">
        <f t="shared" si="73"/>
        <v>39562300k EUR</v>
      </c>
      <c r="AK46" s="35" t="str">
        <f t="shared" si="73"/>
        <v>6532000k EUR</v>
      </c>
      <c r="AL46" s="35" t="str">
        <f t="shared" si="73"/>
        <v>9131000k EUR</v>
      </c>
      <c r="AM46" s="35" t="str">
        <f t="shared" si="73"/>
        <v>11638000k EUR</v>
      </c>
      <c r="AN46" s="35" t="str">
        <f t="shared" si="73"/>
        <v>15847000k EUR</v>
      </c>
      <c r="AO46" s="35" t="str">
        <f t="shared" si="73"/>
        <v>6302000k EUR</v>
      </c>
      <c r="AP46" s="35" t="str">
        <f t="shared" si="73"/>
        <v>17866170k EUR</v>
      </c>
      <c r="AQ46" s="35" t="str">
        <f t="shared" si="73"/>
        <v>24587000k EUR</v>
      </c>
      <c r="AR46" s="35" t="str">
        <f t="shared" si="73"/>
        <v>2063100k EUR</v>
      </c>
      <c r="AS46" s="35" t="str">
        <f t="shared" si="73"/>
        <v>3565000k EUR</v>
      </c>
      <c r="AT46" s="35" t="str">
        <f t="shared" si="73"/>
        <v>2737000k EUR</v>
      </c>
      <c r="AU46" s="35" t="str">
        <f t="shared" si="73"/>
        <v>6670000k EUR</v>
      </c>
      <c r="AV46" s="35" t="str">
        <f t="shared" si="73"/>
        <v>8533000k EUR</v>
      </c>
      <c r="AW46" s="35" t="str">
        <f t="shared" si="73"/>
        <v>4048000k EUR</v>
      </c>
      <c r="AX46" s="35" t="str">
        <f t="shared" si="73"/>
        <v>5980000k EUR</v>
      </c>
      <c r="AY46" s="35" t="str">
        <f t="shared" si="73"/>
        <v>9016000k EUR</v>
      </c>
      <c r="AZ46" s="35" t="str">
        <f t="shared" si="73"/>
        <v>2507000k EUR</v>
      </c>
      <c r="BA46" s="35" t="str">
        <f t="shared" si="73"/>
        <v>1104000k EUR</v>
      </c>
      <c r="BB46" s="35" t="str">
        <f t="shared" si="73"/>
        <v>3519000k EUR</v>
      </c>
      <c r="BC46" s="35" t="str">
        <f t="shared" si="73"/>
        <v>4669000k EUR</v>
      </c>
      <c r="BD46" s="35" t="str">
        <f t="shared" si="73"/>
        <v>276000k EUR</v>
      </c>
      <c r="BE46" s="35" t="str">
        <f t="shared" si="73"/>
        <v>7084000k EUR</v>
      </c>
      <c r="BF46" s="35" t="str">
        <f t="shared" si="73"/>
        <v>3335000k EUR</v>
      </c>
      <c r="BG46" s="35" t="str">
        <f t="shared" si="73"/>
        <v>-805000k EUR</v>
      </c>
      <c r="BH46" s="35" t="str">
        <f t="shared" si="73"/>
        <v>1242000k EUR</v>
      </c>
      <c r="BI46" s="35" t="str">
        <f t="shared" si="73"/>
        <v>19895000k EUR</v>
      </c>
      <c r="BJ46" s="2" t="s">
        <v>105</v>
      </c>
    </row>
    <row r="47" spans="1:62" x14ac:dyDescent="0.3">
      <c r="A47" s="2" t="s">
        <v>37</v>
      </c>
      <c r="B47" s="20">
        <f>ROUND(MIN(100,IF(B35&lt;0.05,20*B35/0.05,IF(B35&lt;0.15,20+40*(B35-0.05)/0.1,IF(B35&lt;0.25,60+30*(B35-0.15)/0.1,90)))),0)</f>
        <v>90</v>
      </c>
      <c r="C47" s="20">
        <f t="shared" ref="C47:BI47" si="74">ROUND(MIN(100,IF(C35&lt;0.05,20*C35/0.05,IF(C35&lt;0.15,20+40*(C35-0.05)/0.1,IF(C35&lt;0.25,60+30*(C35-0.15)/0.1,90)))),0)</f>
        <v>90</v>
      </c>
      <c r="D47" s="20">
        <f t="shared" si="74"/>
        <v>19</v>
      </c>
      <c r="E47" s="20">
        <f t="shared" si="74"/>
        <v>90</v>
      </c>
      <c r="F47" s="20">
        <f t="shared" si="74"/>
        <v>90</v>
      </c>
      <c r="G47" s="20">
        <f t="shared" si="74"/>
        <v>50</v>
      </c>
      <c r="H47" s="20">
        <f t="shared" si="74"/>
        <v>90</v>
      </c>
      <c r="I47" s="20">
        <f t="shared" si="74"/>
        <v>53</v>
      </c>
      <c r="J47" s="20">
        <f t="shared" si="74"/>
        <v>49</v>
      </c>
      <c r="K47" s="20">
        <f t="shared" si="74"/>
        <v>53</v>
      </c>
      <c r="L47" s="20">
        <f t="shared" si="74"/>
        <v>63</v>
      </c>
      <c r="M47" s="20">
        <f t="shared" si="74"/>
        <v>13</v>
      </c>
      <c r="N47" s="20">
        <f t="shared" si="74"/>
        <v>53</v>
      </c>
      <c r="O47" s="20">
        <f t="shared" si="74"/>
        <v>90</v>
      </c>
      <c r="P47" s="20">
        <f t="shared" si="74"/>
        <v>90</v>
      </c>
      <c r="Q47" s="20">
        <f t="shared" si="74"/>
        <v>48</v>
      </c>
      <c r="R47" s="20">
        <f t="shared" si="74"/>
        <v>64</v>
      </c>
      <c r="S47" s="20">
        <f t="shared" si="74"/>
        <v>62</v>
      </c>
      <c r="T47" s="20">
        <f t="shared" si="74"/>
        <v>90</v>
      </c>
      <c r="U47" s="20">
        <f t="shared" si="74"/>
        <v>22</v>
      </c>
      <c r="V47" s="20">
        <f t="shared" si="74"/>
        <v>17</v>
      </c>
      <c r="W47" s="20">
        <f t="shared" si="74"/>
        <v>61</v>
      </c>
      <c r="X47" s="20">
        <f t="shared" si="74"/>
        <v>66</v>
      </c>
      <c r="Y47" s="20">
        <f t="shared" si="74"/>
        <v>39</v>
      </c>
      <c r="Z47" s="20">
        <f t="shared" si="74"/>
        <v>52</v>
      </c>
      <c r="AA47" s="20">
        <f t="shared" si="74"/>
        <v>90</v>
      </c>
      <c r="AB47" s="20">
        <f t="shared" si="74"/>
        <v>90</v>
      </c>
      <c r="AC47" s="20">
        <f t="shared" si="74"/>
        <v>90</v>
      </c>
      <c r="AD47" s="20">
        <f t="shared" si="74"/>
        <v>-63</v>
      </c>
      <c r="AE47" s="20">
        <f t="shared" si="74"/>
        <v>78</v>
      </c>
      <c r="AF47" s="20">
        <f t="shared" si="74"/>
        <v>53</v>
      </c>
      <c r="AG47" s="20">
        <f t="shared" si="74"/>
        <v>90</v>
      </c>
      <c r="AH47" s="20">
        <f t="shared" si="74"/>
        <v>90</v>
      </c>
      <c r="AI47" s="20">
        <f t="shared" si="74"/>
        <v>89</v>
      </c>
      <c r="AJ47" s="20">
        <f t="shared" si="74"/>
        <v>67</v>
      </c>
      <c r="AK47" s="20">
        <f t="shared" si="74"/>
        <v>64</v>
      </c>
      <c r="AL47" s="20">
        <f t="shared" si="74"/>
        <v>31</v>
      </c>
      <c r="AM47" s="20">
        <f t="shared" si="74"/>
        <v>85</v>
      </c>
      <c r="AN47" s="20">
        <f t="shared" si="74"/>
        <v>35</v>
      </c>
      <c r="AO47" s="20">
        <f t="shared" si="74"/>
        <v>27</v>
      </c>
      <c r="AP47" s="20">
        <f t="shared" si="74"/>
        <v>44</v>
      </c>
      <c r="AQ47" s="20">
        <f t="shared" si="74"/>
        <v>30</v>
      </c>
      <c r="AR47" s="20">
        <f t="shared" si="74"/>
        <v>15</v>
      </c>
      <c r="AS47" s="20">
        <f t="shared" si="74"/>
        <v>84</v>
      </c>
      <c r="AT47" s="20">
        <f t="shared" si="74"/>
        <v>38</v>
      </c>
      <c r="AU47" s="20">
        <f t="shared" si="74"/>
        <v>86</v>
      </c>
      <c r="AV47" s="20">
        <f t="shared" si="74"/>
        <v>90</v>
      </c>
      <c r="AW47" s="20">
        <f t="shared" si="74"/>
        <v>73</v>
      </c>
      <c r="AX47" s="20">
        <f t="shared" si="74"/>
        <v>44</v>
      </c>
      <c r="AY47" s="20">
        <f t="shared" si="74"/>
        <v>90</v>
      </c>
      <c r="AZ47" s="20">
        <f t="shared" si="74"/>
        <v>90</v>
      </c>
      <c r="BA47" s="20">
        <f t="shared" si="74"/>
        <v>68</v>
      </c>
      <c r="BB47" s="20">
        <f t="shared" si="74"/>
        <v>45</v>
      </c>
      <c r="BC47" s="20">
        <f t="shared" si="74"/>
        <v>48</v>
      </c>
      <c r="BD47" s="20">
        <f t="shared" si="74"/>
        <v>16</v>
      </c>
      <c r="BE47" s="20">
        <f t="shared" si="74"/>
        <v>40</v>
      </c>
      <c r="BF47" s="20">
        <f t="shared" si="74"/>
        <v>90</v>
      </c>
      <c r="BG47" s="20">
        <f t="shared" si="74"/>
        <v>-13</v>
      </c>
      <c r="BH47" s="20">
        <f t="shared" si="74"/>
        <v>20</v>
      </c>
      <c r="BI47" s="20">
        <f t="shared" si="74"/>
        <v>71</v>
      </c>
    </row>
    <row r="48" spans="1:62" x14ac:dyDescent="0.3">
      <c r="A48" s="2" t="s">
        <v>38</v>
      </c>
      <c r="B48" s="20">
        <f>VLOOKUP(B8,'Reference Data sheet'!$H$3:$M$176,6,FALSE)</f>
        <v>72</v>
      </c>
      <c r="C48" s="20">
        <f>VLOOKUP(C8,'Reference Data sheet'!$H$3:$M$176,6,FALSE)</f>
        <v>82</v>
      </c>
      <c r="D48" s="20">
        <f>VLOOKUP(D8,'Reference Data sheet'!$H$3:$M$176,6,FALSE)</f>
        <v>74</v>
      </c>
      <c r="E48" s="20">
        <f>VLOOKUP(E8,'Reference Data sheet'!$H$3:$M$176,6,FALSE)</f>
        <v>92</v>
      </c>
      <c r="F48" s="20">
        <f>VLOOKUP(F8,'Reference Data sheet'!$H$3:$M$176,6,FALSE)</f>
        <v>72</v>
      </c>
      <c r="G48" s="20">
        <f>VLOOKUP(G8,'Reference Data sheet'!$H$3:$M$176,6,FALSE)</f>
        <v>55</v>
      </c>
      <c r="H48" s="20">
        <f>VLOOKUP(H8,'Reference Data sheet'!$H$3:$M$176,6,FALSE)</f>
        <v>74</v>
      </c>
      <c r="I48" s="20">
        <f>VLOOKUP(I8,'Reference Data sheet'!$H$3:$M$176,6,FALSE)</f>
        <v>74</v>
      </c>
      <c r="J48" s="20">
        <f>VLOOKUP(J8,'Reference Data sheet'!$H$3:$M$176,6,FALSE)</f>
        <v>68</v>
      </c>
      <c r="K48" s="20">
        <f>VLOOKUP(K8,'Reference Data sheet'!$H$3:$M$176,6,FALSE)</f>
        <v>64</v>
      </c>
      <c r="L48" s="20">
        <f>VLOOKUP(L8,'Reference Data sheet'!$H$3:$M$176,6,FALSE)</f>
        <v>70</v>
      </c>
      <c r="M48" s="20">
        <f>VLOOKUP(M8,'Reference Data sheet'!$H$3:$M$176,6,FALSE)</f>
        <v>66</v>
      </c>
      <c r="N48" s="20">
        <f>VLOOKUP(N8,'Reference Data sheet'!$H$3:$M$176,6,FALSE)</f>
        <v>68</v>
      </c>
      <c r="O48" s="20">
        <f>VLOOKUP(O8,'Reference Data sheet'!$H$3:$M$176,6,FALSE)</f>
        <v>92</v>
      </c>
      <c r="P48" s="20">
        <f>VLOOKUP(P8,'Reference Data sheet'!$H$3:$M$176,6,FALSE)</f>
        <v>74</v>
      </c>
      <c r="Q48" s="20">
        <f>VLOOKUP(Q8,'Reference Data sheet'!$H$3:$M$176,6,FALSE)</f>
        <v>74</v>
      </c>
      <c r="R48" s="20">
        <f>VLOOKUP(R8,'Reference Data sheet'!$H$3:$M$176,6,FALSE)</f>
        <v>85</v>
      </c>
      <c r="S48" s="20">
        <f>VLOOKUP(S8,'Reference Data sheet'!$H$3:$M$176,6,FALSE)</f>
        <v>78</v>
      </c>
      <c r="T48" s="20">
        <f>VLOOKUP(T8,'Reference Data sheet'!$H$3:$M$176,6,FALSE)</f>
        <v>70</v>
      </c>
      <c r="U48" s="20">
        <f>VLOOKUP(U8,'Reference Data sheet'!$H$3:$M$176,6,FALSE)</f>
        <v>55</v>
      </c>
      <c r="V48" s="20">
        <f>VLOOKUP(V8,'Reference Data sheet'!$H$3:$M$176,6,FALSE)</f>
        <v>66</v>
      </c>
      <c r="W48" s="20">
        <f>VLOOKUP(W8,'Reference Data sheet'!$H$3:$M$176,6,FALSE)</f>
        <v>68</v>
      </c>
      <c r="X48" s="20">
        <f>VLOOKUP(X8,'Reference Data sheet'!$H$3:$M$176,6,FALSE)</f>
        <v>72</v>
      </c>
      <c r="Y48" s="20">
        <f>VLOOKUP(Y8,'Reference Data sheet'!$H$3:$M$176,6,FALSE)</f>
        <v>62</v>
      </c>
      <c r="Z48" s="20">
        <f>VLOOKUP(Z8,'Reference Data sheet'!$H$3:$M$176,6,FALSE)</f>
        <v>62</v>
      </c>
      <c r="AA48" s="20">
        <f>VLOOKUP(AA8,'Reference Data sheet'!$H$3:$M$176,6,FALSE)</f>
        <v>74</v>
      </c>
      <c r="AB48" s="20">
        <f>VLOOKUP(AB8,'Reference Data sheet'!$H$3:$M$176,6,FALSE)</f>
        <v>76</v>
      </c>
      <c r="AC48" s="20">
        <f>VLOOKUP(AC8,'Reference Data sheet'!$H$3:$M$176,6,FALSE)</f>
        <v>68</v>
      </c>
      <c r="AD48" s="20">
        <f>VLOOKUP(AD8,'Reference Data sheet'!$H$3:$M$176,6,FALSE)</f>
        <v>74</v>
      </c>
      <c r="AE48" s="20">
        <f>VLOOKUP(AE8,'Reference Data sheet'!$H$3:$M$176,6,FALSE)</f>
        <v>80</v>
      </c>
      <c r="AF48" s="20">
        <f>VLOOKUP(AF8,'Reference Data sheet'!$H$3:$M$176,6,FALSE)</f>
        <v>78</v>
      </c>
      <c r="AG48" s="20">
        <f>VLOOKUP(AG8,'Reference Data sheet'!$H$3:$M$176,6,FALSE)</f>
        <v>82</v>
      </c>
      <c r="AH48" s="20">
        <f>VLOOKUP(AH8,'Reference Data sheet'!$H$3:$M$176,6,FALSE)</f>
        <v>65</v>
      </c>
      <c r="AI48" s="20">
        <f>VLOOKUP(AI8,'Reference Data sheet'!$H$3:$M$176,6,FALSE)</f>
        <v>76</v>
      </c>
      <c r="AJ48" s="20">
        <f>VLOOKUP(AJ8,'Reference Data sheet'!$H$3:$M$176,6,FALSE)</f>
        <v>62</v>
      </c>
      <c r="AK48" s="20">
        <f>VLOOKUP(AK8,'Reference Data sheet'!$H$3:$M$176,6,FALSE)</f>
        <v>78</v>
      </c>
      <c r="AL48" s="20">
        <f>VLOOKUP(AL8,'Reference Data sheet'!$H$3:$M$176,6,FALSE)</f>
        <v>76</v>
      </c>
      <c r="AM48" s="20">
        <f>VLOOKUP(AM8,'Reference Data sheet'!$H$3:$M$176,6,FALSE)</f>
        <v>80</v>
      </c>
      <c r="AN48" s="20">
        <f>VLOOKUP(AN8,'Reference Data sheet'!$H$3:$M$176,6,FALSE)</f>
        <v>76</v>
      </c>
      <c r="AO48" s="20">
        <f>VLOOKUP(AO8,'Reference Data sheet'!$H$3:$M$176,6,FALSE)</f>
        <v>70</v>
      </c>
      <c r="AP48" s="20">
        <f>VLOOKUP(AP8,'Reference Data sheet'!$H$3:$M$176,6,FALSE)</f>
        <v>55</v>
      </c>
      <c r="AQ48" s="20">
        <f>VLOOKUP(AQ8,'Reference Data sheet'!$H$3:$M$176,6,FALSE)</f>
        <v>55</v>
      </c>
      <c r="AR48" s="20">
        <f>VLOOKUP(AR8,'Reference Data sheet'!$H$3:$M$176,6,FALSE)</f>
        <v>72</v>
      </c>
      <c r="AS48" s="20">
        <f>VLOOKUP(AS8,'Reference Data sheet'!$H$3:$M$176,6,FALSE)</f>
        <v>74</v>
      </c>
      <c r="AT48" s="20">
        <f>VLOOKUP(AT8,'Reference Data sheet'!$H$3:$M$176,6,FALSE)</f>
        <v>74</v>
      </c>
      <c r="AU48" s="20">
        <f>VLOOKUP(AU8,'Reference Data sheet'!$H$3:$M$176,6,FALSE)</f>
        <v>76</v>
      </c>
      <c r="AV48" s="20">
        <f>VLOOKUP(AV8,'Reference Data sheet'!$H$3:$M$176,6,FALSE)</f>
        <v>76</v>
      </c>
      <c r="AW48" s="20">
        <f>VLOOKUP(AW8,'Reference Data sheet'!$H$3:$M$176,6,FALSE)</f>
        <v>76</v>
      </c>
      <c r="AX48" s="20">
        <f>VLOOKUP(AX8,'Reference Data sheet'!$H$3:$M$176,6,FALSE)</f>
        <v>74</v>
      </c>
      <c r="AY48" s="20">
        <f>VLOOKUP(AY8,'Reference Data sheet'!$H$3:$M$176,6,FALSE)</f>
        <v>74</v>
      </c>
      <c r="AZ48" s="20">
        <f>VLOOKUP(AZ8,'Reference Data sheet'!$H$3:$M$176,6,FALSE)</f>
        <v>92</v>
      </c>
      <c r="BA48" s="20">
        <f>VLOOKUP(BA8,'Reference Data sheet'!$H$3:$M$176,6,FALSE)</f>
        <v>78</v>
      </c>
      <c r="BB48" s="20">
        <f>VLOOKUP(BB8,'Reference Data sheet'!$H$3:$M$176,6,FALSE)</f>
        <v>68</v>
      </c>
      <c r="BC48" s="20">
        <f>VLOOKUP(BC8,'Reference Data sheet'!$H$3:$M$176,6,FALSE)</f>
        <v>74</v>
      </c>
      <c r="BD48" s="20">
        <f>VLOOKUP(BD8,'Reference Data sheet'!$H$3:$M$176,6,FALSE)</f>
        <v>65</v>
      </c>
      <c r="BE48" s="20">
        <f>VLOOKUP(BE8,'Reference Data sheet'!$H$3:$M$176,6,FALSE)</f>
        <v>65</v>
      </c>
      <c r="BF48" s="20">
        <f>VLOOKUP(BF8,'Reference Data sheet'!$H$3:$M$176,6,FALSE)</f>
        <v>68</v>
      </c>
      <c r="BG48" s="20">
        <f>VLOOKUP(BG8,'Reference Data sheet'!$H$3:$M$176,6,FALSE)</f>
        <v>68</v>
      </c>
      <c r="BH48" s="20">
        <f>VLOOKUP(BH8,'Reference Data sheet'!$H$3:$M$176,6,FALSE)</f>
        <v>72</v>
      </c>
      <c r="BI48" s="20">
        <f>VLOOKUP(BI8,'Reference Data sheet'!$H$3:$M$176,6,FALSE)</f>
        <v>68</v>
      </c>
    </row>
    <row r="49" spans="1:62" x14ac:dyDescent="0.3">
      <c r="A49" s="2" t="s">
        <v>96</v>
      </c>
      <c r="B49" s="20">
        <f>ROUND((IF(B25="Yes",0,100)+IF(B26="Yes",0,100)+IF(B24&gt;50,50,100)+IF(B27="Yes",100,0))/4,0)</f>
        <v>100</v>
      </c>
      <c r="C49" s="20">
        <f t="shared" ref="C49:BI49" si="75">ROUND((IF(C25="Yes",0,100)+IF(C26="Yes",0,100)+IF(C24&gt;50,50,100)+IF(C27="Yes",100,0))/4,0)</f>
        <v>100</v>
      </c>
      <c r="D49" s="20">
        <f t="shared" si="75"/>
        <v>50</v>
      </c>
      <c r="E49" s="20">
        <f t="shared" si="75"/>
        <v>75</v>
      </c>
      <c r="F49" s="20">
        <f t="shared" si="75"/>
        <v>75</v>
      </c>
      <c r="G49" s="20">
        <f t="shared" si="75"/>
        <v>50</v>
      </c>
      <c r="H49" s="20">
        <f t="shared" si="75"/>
        <v>75</v>
      </c>
      <c r="I49" s="20">
        <f t="shared" si="75"/>
        <v>75</v>
      </c>
      <c r="J49" s="20">
        <f t="shared" si="75"/>
        <v>100</v>
      </c>
      <c r="K49" s="20">
        <f t="shared" si="75"/>
        <v>75</v>
      </c>
      <c r="L49" s="20">
        <f t="shared" si="75"/>
        <v>75</v>
      </c>
      <c r="M49" s="20">
        <f t="shared" si="75"/>
        <v>100</v>
      </c>
      <c r="N49" s="20">
        <f t="shared" si="75"/>
        <v>100</v>
      </c>
      <c r="O49" s="20">
        <f t="shared" si="75"/>
        <v>100</v>
      </c>
      <c r="P49" s="20">
        <f t="shared" si="75"/>
        <v>75</v>
      </c>
      <c r="Q49" s="20">
        <f t="shared" si="75"/>
        <v>75</v>
      </c>
      <c r="R49" s="20">
        <f t="shared" si="75"/>
        <v>100</v>
      </c>
      <c r="S49" s="20">
        <f t="shared" si="75"/>
        <v>50</v>
      </c>
      <c r="T49" s="20">
        <f t="shared" si="75"/>
        <v>100</v>
      </c>
      <c r="U49" s="20">
        <f t="shared" si="75"/>
        <v>75</v>
      </c>
      <c r="V49" s="20">
        <f t="shared" si="75"/>
        <v>75</v>
      </c>
      <c r="W49" s="20">
        <f t="shared" si="75"/>
        <v>75</v>
      </c>
      <c r="X49" s="20">
        <f t="shared" si="75"/>
        <v>75</v>
      </c>
      <c r="Y49" s="20">
        <f t="shared" si="75"/>
        <v>75</v>
      </c>
      <c r="Z49" s="20">
        <f t="shared" si="75"/>
        <v>63</v>
      </c>
      <c r="AA49" s="20">
        <f t="shared" si="75"/>
        <v>75</v>
      </c>
      <c r="AB49" s="20">
        <f t="shared" si="75"/>
        <v>100</v>
      </c>
      <c r="AC49" s="20">
        <f t="shared" si="75"/>
        <v>100</v>
      </c>
      <c r="AD49" s="20">
        <f t="shared" si="75"/>
        <v>75</v>
      </c>
      <c r="AE49" s="20">
        <f t="shared" si="75"/>
        <v>100</v>
      </c>
      <c r="AF49" s="20">
        <f t="shared" si="75"/>
        <v>75</v>
      </c>
      <c r="AG49" s="20">
        <f t="shared" si="75"/>
        <v>100</v>
      </c>
      <c r="AH49" s="20">
        <f t="shared" si="75"/>
        <v>75</v>
      </c>
      <c r="AI49" s="20">
        <f t="shared" si="75"/>
        <v>100</v>
      </c>
      <c r="AJ49" s="20">
        <f t="shared" si="75"/>
        <v>75</v>
      </c>
      <c r="AK49" s="20">
        <f t="shared" si="75"/>
        <v>75</v>
      </c>
      <c r="AL49" s="20">
        <f t="shared" si="75"/>
        <v>100</v>
      </c>
      <c r="AM49" s="20">
        <f t="shared" si="75"/>
        <v>100</v>
      </c>
      <c r="AN49" s="20">
        <f t="shared" si="75"/>
        <v>100</v>
      </c>
      <c r="AO49" s="20">
        <f t="shared" si="75"/>
        <v>75</v>
      </c>
      <c r="AP49" s="20">
        <f t="shared" si="75"/>
        <v>75</v>
      </c>
      <c r="AQ49" s="20">
        <f t="shared" si="75"/>
        <v>75</v>
      </c>
      <c r="AR49" s="20">
        <f t="shared" si="75"/>
        <v>75</v>
      </c>
      <c r="AS49" s="20">
        <f t="shared" si="75"/>
        <v>75</v>
      </c>
      <c r="AT49" s="20">
        <f t="shared" si="75"/>
        <v>75</v>
      </c>
      <c r="AU49" s="20">
        <f t="shared" si="75"/>
        <v>100</v>
      </c>
      <c r="AV49" s="20">
        <f t="shared" si="75"/>
        <v>100</v>
      </c>
      <c r="AW49" s="20">
        <f t="shared" si="75"/>
        <v>100</v>
      </c>
      <c r="AX49" s="20">
        <f t="shared" si="75"/>
        <v>75</v>
      </c>
      <c r="AY49" s="20">
        <f t="shared" si="75"/>
        <v>75</v>
      </c>
      <c r="AZ49" s="20">
        <f t="shared" si="75"/>
        <v>100</v>
      </c>
      <c r="BA49" s="20">
        <f t="shared" si="75"/>
        <v>75</v>
      </c>
      <c r="BB49" s="20">
        <f t="shared" si="75"/>
        <v>75</v>
      </c>
      <c r="BC49" s="20">
        <f t="shared" si="75"/>
        <v>75</v>
      </c>
      <c r="BD49" s="20">
        <f t="shared" si="75"/>
        <v>75</v>
      </c>
      <c r="BE49" s="20">
        <f t="shared" si="75"/>
        <v>75</v>
      </c>
      <c r="BF49" s="20">
        <f t="shared" si="75"/>
        <v>100</v>
      </c>
      <c r="BG49" s="20">
        <f t="shared" si="75"/>
        <v>63</v>
      </c>
      <c r="BH49" s="20">
        <f t="shared" si="75"/>
        <v>75</v>
      </c>
      <c r="BI49" s="20">
        <f t="shared" si="75"/>
        <v>100</v>
      </c>
    </row>
    <row r="50" spans="1:62" x14ac:dyDescent="0.3">
      <c r="A50" s="2" t="s">
        <v>97</v>
      </c>
      <c r="B50" s="20">
        <f>ROUND(100*COUNTA(B8:B30)/23,0)</f>
        <v>100</v>
      </c>
      <c r="C50" s="20">
        <f t="shared" ref="C50:BI50" si="76">ROUND(100*COUNTA(C8:C30)/23,0)</f>
        <v>100</v>
      </c>
      <c r="D50" s="20">
        <f t="shared" si="76"/>
        <v>100</v>
      </c>
      <c r="E50" s="20">
        <f t="shared" si="76"/>
        <v>100</v>
      </c>
      <c r="F50" s="20">
        <f t="shared" si="76"/>
        <v>100</v>
      </c>
      <c r="G50" s="20">
        <f t="shared" si="76"/>
        <v>100</v>
      </c>
      <c r="H50" s="20">
        <f t="shared" si="76"/>
        <v>100</v>
      </c>
      <c r="I50" s="20">
        <f t="shared" si="76"/>
        <v>100</v>
      </c>
      <c r="J50" s="20">
        <f t="shared" si="76"/>
        <v>100</v>
      </c>
      <c r="K50" s="20">
        <f t="shared" si="76"/>
        <v>100</v>
      </c>
      <c r="L50" s="20">
        <f t="shared" si="76"/>
        <v>100</v>
      </c>
      <c r="M50" s="20">
        <f t="shared" si="76"/>
        <v>100</v>
      </c>
      <c r="N50" s="20">
        <f t="shared" si="76"/>
        <v>100</v>
      </c>
      <c r="O50" s="20">
        <f t="shared" si="76"/>
        <v>100</v>
      </c>
      <c r="P50" s="20">
        <f t="shared" si="76"/>
        <v>100</v>
      </c>
      <c r="Q50" s="20">
        <f t="shared" si="76"/>
        <v>100</v>
      </c>
      <c r="R50" s="20">
        <f t="shared" si="76"/>
        <v>100</v>
      </c>
      <c r="S50" s="20">
        <f t="shared" si="76"/>
        <v>100</v>
      </c>
      <c r="T50" s="20">
        <f t="shared" si="76"/>
        <v>100</v>
      </c>
      <c r="U50" s="20">
        <f t="shared" si="76"/>
        <v>100</v>
      </c>
      <c r="V50" s="20">
        <f t="shared" si="76"/>
        <v>100</v>
      </c>
      <c r="W50" s="20">
        <f t="shared" si="76"/>
        <v>100</v>
      </c>
      <c r="X50" s="20">
        <f t="shared" si="76"/>
        <v>100</v>
      </c>
      <c r="Y50" s="20">
        <f t="shared" si="76"/>
        <v>100</v>
      </c>
      <c r="Z50" s="20">
        <f t="shared" si="76"/>
        <v>100</v>
      </c>
      <c r="AA50" s="20">
        <f t="shared" si="76"/>
        <v>100</v>
      </c>
      <c r="AB50" s="20">
        <f t="shared" si="76"/>
        <v>100</v>
      </c>
      <c r="AC50" s="20">
        <f t="shared" si="76"/>
        <v>100</v>
      </c>
      <c r="AD50" s="20">
        <f t="shared" si="76"/>
        <v>100</v>
      </c>
      <c r="AE50" s="20">
        <f t="shared" si="76"/>
        <v>100</v>
      </c>
      <c r="AF50" s="20">
        <f t="shared" si="76"/>
        <v>100</v>
      </c>
      <c r="AG50" s="20">
        <f t="shared" si="76"/>
        <v>100</v>
      </c>
      <c r="AH50" s="20">
        <f t="shared" si="76"/>
        <v>100</v>
      </c>
      <c r="AI50" s="20">
        <f t="shared" si="76"/>
        <v>100</v>
      </c>
      <c r="AJ50" s="20">
        <f t="shared" si="76"/>
        <v>100</v>
      </c>
      <c r="AK50" s="20">
        <f t="shared" si="76"/>
        <v>100</v>
      </c>
      <c r="AL50" s="20">
        <f t="shared" si="76"/>
        <v>100</v>
      </c>
      <c r="AM50" s="20">
        <f t="shared" si="76"/>
        <v>100</v>
      </c>
      <c r="AN50" s="20">
        <f t="shared" si="76"/>
        <v>100</v>
      </c>
      <c r="AO50" s="20">
        <f t="shared" si="76"/>
        <v>100</v>
      </c>
      <c r="AP50" s="20">
        <f t="shared" si="76"/>
        <v>100</v>
      </c>
      <c r="AQ50" s="20">
        <f t="shared" si="76"/>
        <v>100</v>
      </c>
      <c r="AR50" s="20">
        <f t="shared" si="76"/>
        <v>100</v>
      </c>
      <c r="AS50" s="20">
        <f t="shared" si="76"/>
        <v>100</v>
      </c>
      <c r="AT50" s="20">
        <f t="shared" si="76"/>
        <v>100</v>
      </c>
      <c r="AU50" s="20">
        <f t="shared" si="76"/>
        <v>100</v>
      </c>
      <c r="AV50" s="20">
        <f t="shared" si="76"/>
        <v>100</v>
      </c>
      <c r="AW50" s="20">
        <f t="shared" si="76"/>
        <v>100</v>
      </c>
      <c r="AX50" s="20">
        <f t="shared" si="76"/>
        <v>100</v>
      </c>
      <c r="AY50" s="20">
        <f t="shared" si="76"/>
        <v>100</v>
      </c>
      <c r="AZ50" s="20">
        <f t="shared" si="76"/>
        <v>100</v>
      </c>
      <c r="BA50" s="20">
        <f t="shared" si="76"/>
        <v>100</v>
      </c>
      <c r="BB50" s="20">
        <f t="shared" si="76"/>
        <v>100</v>
      </c>
      <c r="BC50" s="20">
        <f t="shared" si="76"/>
        <v>100</v>
      </c>
      <c r="BD50" s="20">
        <f t="shared" si="76"/>
        <v>100</v>
      </c>
      <c r="BE50" s="20">
        <f t="shared" si="76"/>
        <v>100</v>
      </c>
      <c r="BF50" s="20">
        <f t="shared" si="76"/>
        <v>100</v>
      </c>
      <c r="BG50" s="20">
        <f t="shared" si="76"/>
        <v>100</v>
      </c>
      <c r="BH50" s="20">
        <f t="shared" si="76"/>
        <v>100</v>
      </c>
      <c r="BI50" s="20">
        <f t="shared" si="76"/>
        <v>100</v>
      </c>
    </row>
    <row r="51" spans="1:62" x14ac:dyDescent="0.3">
      <c r="A51" s="2" t="s">
        <v>39</v>
      </c>
      <c r="B51" s="20">
        <f>ROUND(100*0.5*(MIN(1.5,B35/VLOOKUP(B8,'Reference Data sheet'!$H$3:$M$176,6,FALSE))+MIN(1.5,B38/VLOOKUP(B8,'Reference Data sheet'!$H$3:$M$176,6,FALSE))),0)</f>
        <v>0</v>
      </c>
      <c r="C51" s="20">
        <f>ROUND(100*0.5*(MIN(1.5,C35/VLOOKUP(C8,'Reference Data sheet'!$H$3:$M$176,6,FALSE))+MIN(1.5,C38/VLOOKUP(C8,'Reference Data sheet'!$H$3:$M$176,6,FALSE))),0)</f>
        <v>0</v>
      </c>
      <c r="D51" s="20">
        <f>ROUND(100*0.5*(MIN(1.5,D35/VLOOKUP(D8,'Reference Data sheet'!$H$3:$M$176,6,FALSE))+MIN(1.5,D38/VLOOKUP(D8,'Reference Data sheet'!$H$3:$M$176,6,FALSE))),0)</f>
        <v>0</v>
      </c>
      <c r="E51" s="20">
        <f>ROUND(100*0.5*(MIN(1.5,E35/VLOOKUP(E8,'Reference Data sheet'!$H$3:$M$176,6,FALSE))+MIN(1.5,E38/VLOOKUP(E8,'Reference Data sheet'!$H$3:$M$176,6,FALSE))),0)</f>
        <v>0</v>
      </c>
      <c r="F51" s="20">
        <f>ROUND(100*0.5*(MIN(1.5,F35/VLOOKUP(F8,'Reference Data sheet'!$H$3:$M$176,6,FALSE))+MIN(1.5,F38/VLOOKUP(F8,'Reference Data sheet'!$H$3:$M$176,6,FALSE))),0)</f>
        <v>0</v>
      </c>
      <c r="G51" s="20">
        <f>ROUND(100*0.5*(MIN(1.5,G35/VLOOKUP(G8,'Reference Data sheet'!$H$3:$M$176,6,FALSE))+MIN(1.5,G38/VLOOKUP(G8,'Reference Data sheet'!$H$3:$M$176,6,FALSE))),0)</f>
        <v>0</v>
      </c>
      <c r="H51" s="20">
        <f>ROUND(100*0.5*(MIN(1.5,H35/VLOOKUP(H8,'Reference Data sheet'!$H$3:$M$176,6,FALSE))+MIN(1.5,H38/VLOOKUP(H8,'Reference Data sheet'!$H$3:$M$176,6,FALSE))),0)</f>
        <v>0</v>
      </c>
      <c r="I51" s="20">
        <f>ROUND(100*0.5*(MIN(1.5,I35/VLOOKUP(I8,'Reference Data sheet'!$H$3:$M$176,6,FALSE))+MIN(1.5,I38/VLOOKUP(I8,'Reference Data sheet'!$H$3:$M$176,6,FALSE))),0)</f>
        <v>0</v>
      </c>
      <c r="J51" s="20">
        <f>ROUND(100*0.5*(MIN(1.5,J35/VLOOKUP(J8,'Reference Data sheet'!$H$3:$M$176,6,FALSE))+MIN(1.5,J38/VLOOKUP(J8,'Reference Data sheet'!$H$3:$M$176,6,FALSE))),0)</f>
        <v>0</v>
      </c>
      <c r="K51" s="20">
        <f>ROUND(100*0.5*(MIN(1.5,K35/VLOOKUP(K8,'Reference Data sheet'!$H$3:$M$176,6,FALSE))+MIN(1.5,K38/VLOOKUP(K8,'Reference Data sheet'!$H$3:$M$176,6,FALSE))),0)</f>
        <v>0</v>
      </c>
      <c r="L51" s="20">
        <f>ROUND(100*0.5*(MIN(1.5,L35/VLOOKUP(L8,'Reference Data sheet'!$H$3:$M$176,6,FALSE))+MIN(1.5,L38/VLOOKUP(L8,'Reference Data sheet'!$H$3:$M$176,6,FALSE))),0)</f>
        <v>0</v>
      </c>
      <c r="M51" s="20">
        <f>ROUND(100*0.5*(MIN(1.5,M35/VLOOKUP(M8,'Reference Data sheet'!$H$3:$M$176,6,FALSE))+MIN(1.5,M38/VLOOKUP(M8,'Reference Data sheet'!$H$3:$M$176,6,FALSE))),0)</f>
        <v>0</v>
      </c>
      <c r="N51" s="20">
        <f>ROUND(100*0.5*(MIN(1.5,N35/VLOOKUP(N8,'Reference Data sheet'!$H$3:$M$176,6,FALSE))+MIN(1.5,N38/VLOOKUP(N8,'Reference Data sheet'!$H$3:$M$176,6,FALSE))),0)</f>
        <v>0</v>
      </c>
      <c r="O51" s="20">
        <f>ROUND(100*0.5*(MIN(1.5,O35/VLOOKUP(O8,'Reference Data sheet'!$H$3:$M$176,6,FALSE))+MIN(1.5,O38/VLOOKUP(O8,'Reference Data sheet'!$H$3:$M$176,6,FALSE))),0)</f>
        <v>0</v>
      </c>
      <c r="P51" s="20">
        <f>ROUND(100*0.5*(MIN(1.5,P35/VLOOKUP(P8,'Reference Data sheet'!$H$3:$M$176,6,FALSE))+MIN(1.5,P38/VLOOKUP(P8,'Reference Data sheet'!$H$3:$M$176,6,FALSE))),0)</f>
        <v>0</v>
      </c>
      <c r="Q51" s="20">
        <f>ROUND(100*0.5*(MIN(1.5,Q35/VLOOKUP(Q8,'Reference Data sheet'!$H$3:$M$176,6,FALSE))+MIN(1.5,Q38/VLOOKUP(Q8,'Reference Data sheet'!$H$3:$M$176,6,FALSE))),0)</f>
        <v>0</v>
      </c>
      <c r="R51" s="20">
        <f>ROUND(100*0.5*(MIN(1.5,R35/VLOOKUP(R8,'Reference Data sheet'!$H$3:$M$176,6,FALSE))+MIN(1.5,R38/VLOOKUP(R8,'Reference Data sheet'!$H$3:$M$176,6,FALSE))),0)</f>
        <v>0</v>
      </c>
      <c r="S51" s="20">
        <f>ROUND(100*0.5*(MIN(1.5,S35/VLOOKUP(S8,'Reference Data sheet'!$H$3:$M$176,6,FALSE))+MIN(1.5,S38/VLOOKUP(S8,'Reference Data sheet'!$H$3:$M$176,6,FALSE))),0)</f>
        <v>0</v>
      </c>
      <c r="T51" s="20">
        <f>ROUND(100*0.5*(MIN(1.5,T35/VLOOKUP(T8,'Reference Data sheet'!$H$3:$M$176,6,FALSE))+MIN(1.5,T38/VLOOKUP(T8,'Reference Data sheet'!$H$3:$M$176,6,FALSE))),0)</f>
        <v>0</v>
      </c>
      <c r="U51" s="20">
        <f>ROUND(100*0.5*(MIN(1.5,U35/VLOOKUP(U8,'Reference Data sheet'!$H$3:$M$176,6,FALSE))+MIN(1.5,U38/VLOOKUP(U8,'Reference Data sheet'!$H$3:$M$176,6,FALSE))),0)</f>
        <v>0</v>
      </c>
      <c r="V51" s="20">
        <f>ROUND(100*0.5*(MIN(1.5,V35/VLOOKUP(V8,'Reference Data sheet'!$H$3:$M$176,6,FALSE))+MIN(1.5,V38/VLOOKUP(V8,'Reference Data sheet'!$H$3:$M$176,6,FALSE))),0)</f>
        <v>0</v>
      </c>
      <c r="W51" s="20">
        <f>ROUND(100*0.5*(MIN(1.5,W35/VLOOKUP(W8,'Reference Data sheet'!$H$3:$M$176,6,FALSE))+MIN(1.5,W38/VLOOKUP(W8,'Reference Data sheet'!$H$3:$M$176,6,FALSE))),0)</f>
        <v>0</v>
      </c>
      <c r="X51" s="20">
        <f>ROUND(100*0.5*(MIN(1.5,X35/VLOOKUP(X8,'Reference Data sheet'!$H$3:$M$176,6,FALSE))+MIN(1.5,X38/VLOOKUP(X8,'Reference Data sheet'!$H$3:$M$176,6,FALSE))),0)</f>
        <v>0</v>
      </c>
      <c r="Y51" s="20">
        <f>ROUND(100*0.5*(MIN(1.5,Y35/VLOOKUP(Y8,'Reference Data sheet'!$H$3:$M$176,6,FALSE))+MIN(1.5,Y38/VLOOKUP(Y8,'Reference Data sheet'!$H$3:$M$176,6,FALSE))),0)</f>
        <v>0</v>
      </c>
      <c r="Z51" s="20">
        <f>ROUND(100*0.5*(MIN(1.5,Z35/VLOOKUP(Z8,'Reference Data sheet'!$H$3:$M$176,6,FALSE))+MIN(1.5,Z38/VLOOKUP(Z8,'Reference Data sheet'!$H$3:$M$176,6,FALSE))),0)</f>
        <v>0</v>
      </c>
      <c r="AA51" s="20">
        <f>ROUND(100*0.5*(MIN(1.5,AA35/VLOOKUP(AA8,'Reference Data sheet'!$H$3:$M$176,6,FALSE))+MIN(1.5,AA38/VLOOKUP(AA8,'Reference Data sheet'!$H$3:$M$176,6,FALSE))),0)</f>
        <v>0</v>
      </c>
      <c r="AB51" s="20">
        <f>ROUND(100*0.5*(MIN(1.5,AB35/VLOOKUP(AB8,'Reference Data sheet'!$H$3:$M$176,6,FALSE))+MIN(1.5,AB38/VLOOKUP(AB8,'Reference Data sheet'!$H$3:$M$176,6,FALSE))),0)</f>
        <v>0</v>
      </c>
      <c r="AC51" s="20">
        <f>ROUND(100*0.5*(MIN(1.5,AC35/VLOOKUP(AC8,'Reference Data sheet'!$H$3:$M$176,6,FALSE))+MIN(1.5,AC38/VLOOKUP(AC8,'Reference Data sheet'!$H$3:$M$176,6,FALSE))),0)</f>
        <v>0</v>
      </c>
      <c r="AD51" s="20">
        <f>ROUND(100*0.5*(MIN(1.5,AD35/VLOOKUP(AD8,'Reference Data sheet'!$H$3:$M$176,6,FALSE))+MIN(1.5,AD38/VLOOKUP(AD8,'Reference Data sheet'!$H$3:$M$176,6,FALSE))),0)</f>
        <v>0</v>
      </c>
      <c r="AE51" s="20">
        <f>ROUND(100*0.5*(MIN(1.5,AE35/VLOOKUP(AE8,'Reference Data sheet'!$H$3:$M$176,6,FALSE))+MIN(1.5,AE38/VLOOKUP(AE8,'Reference Data sheet'!$H$3:$M$176,6,FALSE))),0)</f>
        <v>0</v>
      </c>
      <c r="AF51" s="20">
        <f>ROUND(100*0.5*(MIN(1.5,AF35/VLOOKUP(AF8,'Reference Data sheet'!$H$3:$M$176,6,FALSE))+MIN(1.5,AF38/VLOOKUP(AF8,'Reference Data sheet'!$H$3:$M$176,6,FALSE))),0)</f>
        <v>0</v>
      </c>
      <c r="AG51" s="20">
        <f>ROUND(100*0.5*(MIN(1.5,AG35/VLOOKUP(AG8,'Reference Data sheet'!$H$3:$M$176,6,FALSE))+MIN(1.5,AG38/VLOOKUP(AG8,'Reference Data sheet'!$H$3:$M$176,6,FALSE))),0)</f>
        <v>0</v>
      </c>
      <c r="AH51" s="20">
        <f>ROUND(100*0.5*(MIN(1.5,AH35/VLOOKUP(AH8,'Reference Data sheet'!$H$3:$M$176,6,FALSE))+MIN(1.5,AH38/VLOOKUP(AH8,'Reference Data sheet'!$H$3:$M$176,6,FALSE))),0)</f>
        <v>0</v>
      </c>
      <c r="AI51" s="20">
        <f>ROUND(100*0.5*(MIN(1.5,AI35/VLOOKUP(AI8,'Reference Data sheet'!$H$3:$M$176,6,FALSE))+MIN(1.5,AI38/VLOOKUP(AI8,'Reference Data sheet'!$H$3:$M$176,6,FALSE))),0)</f>
        <v>0</v>
      </c>
      <c r="AJ51" s="20">
        <f>ROUND(100*0.5*(MIN(1.5,AJ35/VLOOKUP(AJ8,'Reference Data sheet'!$H$3:$M$176,6,FALSE))+MIN(1.5,AJ38/VLOOKUP(AJ8,'Reference Data sheet'!$H$3:$M$176,6,FALSE))),0)</f>
        <v>0</v>
      </c>
      <c r="AK51" s="20">
        <f>ROUND(100*0.5*(MIN(1.5,AK35/VLOOKUP(AK8,'Reference Data sheet'!$H$3:$M$176,6,FALSE))+MIN(1.5,AK38/VLOOKUP(AK8,'Reference Data sheet'!$H$3:$M$176,6,FALSE))),0)</f>
        <v>0</v>
      </c>
      <c r="AL51" s="20">
        <f>ROUND(100*0.5*(MIN(1.5,AL35/VLOOKUP(AL8,'Reference Data sheet'!$H$3:$M$176,6,FALSE))+MIN(1.5,AL38/VLOOKUP(AL8,'Reference Data sheet'!$H$3:$M$176,6,FALSE))),0)</f>
        <v>0</v>
      </c>
      <c r="AM51" s="20">
        <f>ROUND(100*0.5*(MIN(1.5,AM35/VLOOKUP(AM8,'Reference Data sheet'!$H$3:$M$176,6,FALSE))+MIN(1.5,AM38/VLOOKUP(AM8,'Reference Data sheet'!$H$3:$M$176,6,FALSE))),0)</f>
        <v>0</v>
      </c>
      <c r="AN51" s="20">
        <f>ROUND(100*0.5*(MIN(1.5,AN35/VLOOKUP(AN8,'Reference Data sheet'!$H$3:$M$176,6,FALSE))+MIN(1.5,AN38/VLOOKUP(AN8,'Reference Data sheet'!$H$3:$M$176,6,FALSE))),0)</f>
        <v>0</v>
      </c>
      <c r="AO51" s="20">
        <f>ROUND(100*0.5*(MIN(1.5,AO35/VLOOKUP(AO8,'Reference Data sheet'!$H$3:$M$176,6,FALSE))+MIN(1.5,AO38/VLOOKUP(AO8,'Reference Data sheet'!$H$3:$M$176,6,FALSE))),0)</f>
        <v>0</v>
      </c>
      <c r="AP51" s="20">
        <f>ROUND(100*0.5*(MIN(1.5,AP35/VLOOKUP(AP8,'Reference Data sheet'!$H$3:$M$176,6,FALSE))+MIN(1.5,AP38/VLOOKUP(AP8,'Reference Data sheet'!$H$3:$M$176,6,FALSE))),0)</f>
        <v>0</v>
      </c>
      <c r="AQ51" s="20">
        <f>ROUND(100*0.5*(MIN(1.5,AQ35/VLOOKUP(AQ8,'Reference Data sheet'!$H$3:$M$176,6,FALSE))+MIN(1.5,AQ38/VLOOKUP(AQ8,'Reference Data sheet'!$H$3:$M$176,6,FALSE))),0)</f>
        <v>0</v>
      </c>
      <c r="AR51" s="20">
        <f>ROUND(100*0.5*(MIN(1.5,AR35/VLOOKUP(AR8,'Reference Data sheet'!$H$3:$M$176,6,FALSE))+MIN(1.5,AR38/VLOOKUP(AR8,'Reference Data sheet'!$H$3:$M$176,6,FALSE))),0)</f>
        <v>0</v>
      </c>
      <c r="AS51" s="20">
        <f>ROUND(100*0.5*(MIN(1.5,AS35/VLOOKUP(AS8,'Reference Data sheet'!$H$3:$M$176,6,FALSE))+MIN(1.5,AS38/VLOOKUP(AS8,'Reference Data sheet'!$H$3:$M$176,6,FALSE))),0)</f>
        <v>0</v>
      </c>
      <c r="AT51" s="20">
        <f>ROUND(100*0.5*(MIN(1.5,AT35/VLOOKUP(AT8,'Reference Data sheet'!$H$3:$M$176,6,FALSE))+MIN(1.5,AT38/VLOOKUP(AT8,'Reference Data sheet'!$H$3:$M$176,6,FALSE))),0)</f>
        <v>0</v>
      </c>
      <c r="AU51" s="20">
        <f>ROUND(100*0.5*(MIN(1.5,AU35/VLOOKUP(AU8,'Reference Data sheet'!$H$3:$M$176,6,FALSE))+MIN(1.5,AU38/VLOOKUP(AU8,'Reference Data sheet'!$H$3:$M$176,6,FALSE))),0)</f>
        <v>0</v>
      </c>
      <c r="AV51" s="20">
        <f>ROUND(100*0.5*(MIN(1.5,AV35/VLOOKUP(AV8,'Reference Data sheet'!$H$3:$M$176,6,FALSE))+MIN(1.5,AV38/VLOOKUP(AV8,'Reference Data sheet'!$H$3:$M$176,6,FALSE))),0)</f>
        <v>0</v>
      </c>
      <c r="AW51" s="20">
        <f>ROUND(100*0.5*(MIN(1.5,AW35/VLOOKUP(AW8,'Reference Data sheet'!$H$3:$M$176,6,FALSE))+MIN(1.5,AW38/VLOOKUP(AW8,'Reference Data sheet'!$H$3:$M$176,6,FALSE))),0)</f>
        <v>0</v>
      </c>
      <c r="AX51" s="20">
        <f>ROUND(100*0.5*(MIN(1.5,AX35/VLOOKUP(AX8,'Reference Data sheet'!$H$3:$M$176,6,FALSE))+MIN(1.5,AX38/VLOOKUP(AX8,'Reference Data sheet'!$H$3:$M$176,6,FALSE))),0)</f>
        <v>0</v>
      </c>
      <c r="AY51" s="20">
        <f>ROUND(100*0.5*(MIN(1.5,AY35/VLOOKUP(AY8,'Reference Data sheet'!$H$3:$M$176,6,FALSE))+MIN(1.5,AY38/VLOOKUP(AY8,'Reference Data sheet'!$H$3:$M$176,6,FALSE))),0)</f>
        <v>0</v>
      </c>
      <c r="AZ51" s="20">
        <f>ROUND(100*0.5*(MIN(1.5,AZ35/VLOOKUP(AZ8,'Reference Data sheet'!$H$3:$M$176,6,FALSE))+MIN(1.5,AZ38/VLOOKUP(AZ8,'Reference Data sheet'!$H$3:$M$176,6,FALSE))),0)</f>
        <v>0</v>
      </c>
      <c r="BA51" s="20">
        <f>ROUND(100*0.5*(MIN(1.5,BA35/VLOOKUP(BA8,'Reference Data sheet'!$H$3:$M$176,6,FALSE))+MIN(1.5,BA38/VLOOKUP(BA8,'Reference Data sheet'!$H$3:$M$176,6,FALSE))),0)</f>
        <v>0</v>
      </c>
      <c r="BB51" s="20">
        <f>ROUND(100*0.5*(MIN(1.5,BB35/VLOOKUP(BB8,'Reference Data sheet'!$H$3:$M$176,6,FALSE))+MIN(1.5,BB38/VLOOKUP(BB8,'Reference Data sheet'!$H$3:$M$176,6,FALSE))),0)</f>
        <v>0</v>
      </c>
      <c r="BC51" s="20">
        <f>ROUND(100*0.5*(MIN(1.5,BC35/VLOOKUP(BC8,'Reference Data sheet'!$H$3:$M$176,6,FALSE))+MIN(1.5,BC38/VLOOKUP(BC8,'Reference Data sheet'!$H$3:$M$176,6,FALSE))),0)</f>
        <v>0</v>
      </c>
      <c r="BD51" s="20">
        <f>ROUND(100*0.5*(MIN(1.5,BD35/VLOOKUP(BD8,'Reference Data sheet'!$H$3:$M$176,6,FALSE))+MIN(1.5,BD38/VLOOKUP(BD8,'Reference Data sheet'!$H$3:$M$176,6,FALSE))),0)</f>
        <v>0</v>
      </c>
      <c r="BE51" s="20">
        <f>ROUND(100*0.5*(MIN(1.5,BE35/VLOOKUP(BE8,'Reference Data sheet'!$H$3:$M$176,6,FALSE))+MIN(1.5,BE38/VLOOKUP(BE8,'Reference Data sheet'!$H$3:$M$176,6,FALSE))),0)</f>
        <v>0</v>
      </c>
      <c r="BF51" s="20">
        <f>ROUND(100*0.5*(MIN(1.5,BF35/VLOOKUP(BF8,'Reference Data sheet'!$H$3:$M$176,6,FALSE))+MIN(1.5,BF38/VLOOKUP(BF8,'Reference Data sheet'!$H$3:$M$176,6,FALSE))),0)</f>
        <v>0</v>
      </c>
      <c r="BG51" s="20">
        <f>ROUND(100*0.5*(MIN(1.5,BG35/VLOOKUP(BG8,'Reference Data sheet'!$H$3:$M$176,6,FALSE))+MIN(1.5,BG38/VLOOKUP(BG8,'Reference Data sheet'!$H$3:$M$176,6,FALSE))),0)</f>
        <v>0</v>
      </c>
      <c r="BH51" s="20">
        <f>ROUND(100*0.5*(MIN(1.5,BH35/VLOOKUP(BH8,'Reference Data sheet'!$H$3:$M$176,6,FALSE))+MIN(1.5,BH38/VLOOKUP(BH8,'Reference Data sheet'!$H$3:$M$176,6,FALSE))),0)</f>
        <v>0</v>
      </c>
      <c r="BI51" s="20">
        <f>ROUND(100*0.5*(MIN(1.5,BI35/VLOOKUP(BI8,'Reference Data sheet'!$H$3:$M$176,6,FALSE))+MIN(1.5,BI38/VLOOKUP(BI8,'Reference Data sheet'!$H$3:$M$176,6,FALSE))),0)</f>
        <v>0</v>
      </c>
    </row>
    <row r="52" spans="1:62" s="1" customFormat="1" x14ac:dyDescent="0.3">
      <c r="A52" s="31" t="s">
        <v>98</v>
      </c>
      <c r="B52" s="32">
        <f>ROUND(0.3*B47+0.25*B48+0.2*B49+0.15*B51+0.1*B50,0)</f>
        <v>75</v>
      </c>
      <c r="C52" s="32">
        <f t="shared" ref="C52:BI52" si="77">ROUND(0.3*C47+0.25*C48+0.2*C49+0.15*C51+0.1*C50,0)</f>
        <v>78</v>
      </c>
      <c r="D52" s="32">
        <f t="shared" si="77"/>
        <v>44</v>
      </c>
      <c r="E52" s="32">
        <f t="shared" si="77"/>
        <v>75</v>
      </c>
      <c r="F52" s="32">
        <f t="shared" si="77"/>
        <v>70</v>
      </c>
      <c r="G52" s="32">
        <f t="shared" si="77"/>
        <v>49</v>
      </c>
      <c r="H52" s="32">
        <f t="shared" si="77"/>
        <v>71</v>
      </c>
      <c r="I52" s="32">
        <f t="shared" si="77"/>
        <v>59</v>
      </c>
      <c r="J52" s="32">
        <f t="shared" si="77"/>
        <v>62</v>
      </c>
      <c r="K52" s="32">
        <f t="shared" si="77"/>
        <v>57</v>
      </c>
      <c r="L52" s="32">
        <f t="shared" si="77"/>
        <v>61</v>
      </c>
      <c r="M52" s="32">
        <f t="shared" si="77"/>
        <v>50</v>
      </c>
      <c r="N52" s="32">
        <f t="shared" si="77"/>
        <v>63</v>
      </c>
      <c r="O52" s="32">
        <f t="shared" si="77"/>
        <v>80</v>
      </c>
      <c r="P52" s="32">
        <f t="shared" si="77"/>
        <v>71</v>
      </c>
      <c r="Q52" s="32">
        <f t="shared" si="77"/>
        <v>58</v>
      </c>
      <c r="R52" s="32">
        <f t="shared" si="77"/>
        <v>70</v>
      </c>
      <c r="S52" s="32">
        <f t="shared" si="77"/>
        <v>58</v>
      </c>
      <c r="T52" s="32">
        <f t="shared" si="77"/>
        <v>75</v>
      </c>
      <c r="U52" s="32">
        <f t="shared" si="77"/>
        <v>45</v>
      </c>
      <c r="V52" s="32">
        <f t="shared" si="77"/>
        <v>47</v>
      </c>
      <c r="W52" s="32">
        <f t="shared" si="77"/>
        <v>60</v>
      </c>
      <c r="X52" s="32">
        <f t="shared" si="77"/>
        <v>63</v>
      </c>
      <c r="Y52" s="32">
        <f t="shared" si="77"/>
        <v>52</v>
      </c>
      <c r="Z52" s="32">
        <f t="shared" si="77"/>
        <v>54</v>
      </c>
      <c r="AA52" s="32">
        <f t="shared" si="77"/>
        <v>71</v>
      </c>
      <c r="AB52" s="32">
        <f t="shared" si="77"/>
        <v>76</v>
      </c>
      <c r="AC52" s="32">
        <f t="shared" si="77"/>
        <v>74</v>
      </c>
      <c r="AD52" s="32">
        <f t="shared" si="77"/>
        <v>25</v>
      </c>
      <c r="AE52" s="32">
        <f t="shared" si="77"/>
        <v>73</v>
      </c>
      <c r="AF52" s="32">
        <f t="shared" si="77"/>
        <v>60</v>
      </c>
      <c r="AG52" s="32">
        <f t="shared" si="77"/>
        <v>78</v>
      </c>
      <c r="AH52" s="32">
        <f t="shared" si="77"/>
        <v>68</v>
      </c>
      <c r="AI52" s="32">
        <f t="shared" si="77"/>
        <v>76</v>
      </c>
      <c r="AJ52" s="32">
        <f t="shared" si="77"/>
        <v>61</v>
      </c>
      <c r="AK52" s="32">
        <f t="shared" si="77"/>
        <v>64</v>
      </c>
      <c r="AL52" s="32">
        <f t="shared" si="77"/>
        <v>58</v>
      </c>
      <c r="AM52" s="32">
        <f t="shared" si="77"/>
        <v>76</v>
      </c>
      <c r="AN52" s="32">
        <f t="shared" si="77"/>
        <v>60</v>
      </c>
      <c r="AO52" s="32">
        <f t="shared" si="77"/>
        <v>51</v>
      </c>
      <c r="AP52" s="32">
        <f t="shared" si="77"/>
        <v>52</v>
      </c>
      <c r="AQ52" s="32">
        <f t="shared" si="77"/>
        <v>48</v>
      </c>
      <c r="AR52" s="32">
        <f t="shared" si="77"/>
        <v>48</v>
      </c>
      <c r="AS52" s="32">
        <f t="shared" si="77"/>
        <v>69</v>
      </c>
      <c r="AT52" s="32">
        <f t="shared" si="77"/>
        <v>55</v>
      </c>
      <c r="AU52" s="32">
        <f t="shared" si="77"/>
        <v>75</v>
      </c>
      <c r="AV52" s="32">
        <f t="shared" si="77"/>
        <v>76</v>
      </c>
      <c r="AW52" s="32">
        <f t="shared" si="77"/>
        <v>71</v>
      </c>
      <c r="AX52" s="32">
        <f t="shared" si="77"/>
        <v>57</v>
      </c>
      <c r="AY52" s="32">
        <f t="shared" si="77"/>
        <v>71</v>
      </c>
      <c r="AZ52" s="32">
        <f t="shared" si="77"/>
        <v>80</v>
      </c>
      <c r="BA52" s="32">
        <f t="shared" si="77"/>
        <v>65</v>
      </c>
      <c r="BB52" s="32">
        <f t="shared" si="77"/>
        <v>56</v>
      </c>
      <c r="BC52" s="32">
        <f t="shared" si="77"/>
        <v>58</v>
      </c>
      <c r="BD52" s="32">
        <f t="shared" si="77"/>
        <v>46</v>
      </c>
      <c r="BE52" s="32">
        <f t="shared" si="77"/>
        <v>53</v>
      </c>
      <c r="BF52" s="32">
        <f t="shared" si="77"/>
        <v>74</v>
      </c>
      <c r="BG52" s="32">
        <f t="shared" si="77"/>
        <v>36</v>
      </c>
      <c r="BH52" s="32">
        <f t="shared" si="77"/>
        <v>49</v>
      </c>
      <c r="BI52" s="32">
        <f t="shared" si="77"/>
        <v>68</v>
      </c>
      <c r="BJ52" s="33" t="s">
        <v>104</v>
      </c>
    </row>
    <row r="53" spans="1:62" x14ac:dyDescent="0.3">
      <c r="A53" s="2" t="s">
        <v>99</v>
      </c>
      <c r="B53" s="20">
        <f>IF(AVERAGE(B12:B14)&lt;='Reference Data sheet'!$B198,'Reference Data sheet'!$C198,IF(AVERAGE(B12:B14)&lt;='Reference Data sheet'!$B199,'Reference Data sheet'!$C199,IF(AVERAGE(B12:B14)&lt;='Reference Data sheet'!$B200,'Reference Data sheet'!$C200,'Reference Data sheet'!$C201)))*100</f>
        <v>60</v>
      </c>
      <c r="C53" s="20">
        <f>IF(AVERAGE(C12:C14)&lt;='Reference Data sheet'!$B198,'Reference Data sheet'!$C198,IF(AVERAGE(C12:C14)&lt;='Reference Data sheet'!$B199,'Reference Data sheet'!$C199,IF(AVERAGE(C12:C14)&lt;='Reference Data sheet'!$B200,'Reference Data sheet'!$C200,'Reference Data sheet'!$C201)))*100</f>
        <v>60</v>
      </c>
      <c r="D53" s="20">
        <f>IF(AVERAGE(D12:D14)&lt;='Reference Data sheet'!$B198,'Reference Data sheet'!$C198,IF(AVERAGE(D12:D14)&lt;='Reference Data sheet'!$B199,'Reference Data sheet'!$C199,IF(AVERAGE(D12:D14)&lt;='Reference Data sheet'!$B200,'Reference Data sheet'!$C200,'Reference Data sheet'!$C201)))*100</f>
        <v>60</v>
      </c>
      <c r="E53" s="20">
        <f>IF(AVERAGE(E12:E14)&lt;='Reference Data sheet'!$B198,'Reference Data sheet'!$C198,IF(AVERAGE(E12:E14)&lt;='Reference Data sheet'!$B199,'Reference Data sheet'!$C199,IF(AVERAGE(E12:E14)&lt;='Reference Data sheet'!$B200,'Reference Data sheet'!$C200,'Reference Data sheet'!$C201)))*100</f>
        <v>60</v>
      </c>
      <c r="F53" s="20">
        <f>IF(AVERAGE(F12:F14)&lt;='Reference Data sheet'!$B198,'Reference Data sheet'!$C198,IF(AVERAGE(F12:F14)&lt;='Reference Data sheet'!$B199,'Reference Data sheet'!$C199,IF(AVERAGE(F12:F14)&lt;='Reference Data sheet'!$B200,'Reference Data sheet'!$C200,'Reference Data sheet'!$C201)))*100</f>
        <v>60</v>
      </c>
      <c r="G53" s="20">
        <f>IF(AVERAGE(G12:G14)&lt;='Reference Data sheet'!$B198,'Reference Data sheet'!$C198,IF(AVERAGE(G12:G14)&lt;='Reference Data sheet'!$B199,'Reference Data sheet'!$C199,IF(AVERAGE(G12:G14)&lt;='Reference Data sheet'!$B200,'Reference Data sheet'!$C200,'Reference Data sheet'!$C201)))*100</f>
        <v>60</v>
      </c>
      <c r="H53" s="20">
        <f>IF(AVERAGE(H12:H14)&lt;='Reference Data sheet'!$B198,'Reference Data sheet'!$C198,IF(AVERAGE(H12:H14)&lt;='Reference Data sheet'!$B199,'Reference Data sheet'!$C199,IF(AVERAGE(H12:H14)&lt;='Reference Data sheet'!$B200,'Reference Data sheet'!$C200,'Reference Data sheet'!$C201)))*100</f>
        <v>60</v>
      </c>
      <c r="I53" s="20">
        <f>IF(AVERAGE(I12:I14)&lt;='Reference Data sheet'!$B198,'Reference Data sheet'!$C198,IF(AVERAGE(I12:I14)&lt;='Reference Data sheet'!$B199,'Reference Data sheet'!$C199,IF(AVERAGE(I12:I14)&lt;='Reference Data sheet'!$B200,'Reference Data sheet'!$C200,'Reference Data sheet'!$C201)))*100</f>
        <v>60</v>
      </c>
      <c r="J53" s="20">
        <f>IF(AVERAGE(J12:J14)&lt;='Reference Data sheet'!$B198,'Reference Data sheet'!$C198,IF(AVERAGE(J12:J14)&lt;='Reference Data sheet'!$B199,'Reference Data sheet'!$C199,IF(AVERAGE(J12:J14)&lt;='Reference Data sheet'!$B200,'Reference Data sheet'!$C200,'Reference Data sheet'!$C201)))*100</f>
        <v>60</v>
      </c>
      <c r="K53" s="20">
        <f>IF(AVERAGE(K12:K14)&lt;='Reference Data sheet'!$B198,'Reference Data sheet'!$C198,IF(AVERAGE(K12:K14)&lt;='Reference Data sheet'!$B199,'Reference Data sheet'!$C199,IF(AVERAGE(K12:K14)&lt;='Reference Data sheet'!$B200,'Reference Data sheet'!$C200,'Reference Data sheet'!$C201)))*100</f>
        <v>60</v>
      </c>
      <c r="L53" s="20">
        <f>IF(AVERAGE(L12:L14)&lt;='Reference Data sheet'!$B198,'Reference Data sheet'!$C198,IF(AVERAGE(L12:L14)&lt;='Reference Data sheet'!$B199,'Reference Data sheet'!$C199,IF(AVERAGE(L12:L14)&lt;='Reference Data sheet'!$B200,'Reference Data sheet'!$C200,'Reference Data sheet'!$C201)))*100</f>
        <v>60</v>
      </c>
      <c r="M53" s="20">
        <f>IF(AVERAGE(M12:M14)&lt;='Reference Data sheet'!$B198,'Reference Data sheet'!$C198,IF(AVERAGE(M12:M14)&lt;='Reference Data sheet'!$B199,'Reference Data sheet'!$C199,IF(AVERAGE(M12:M14)&lt;='Reference Data sheet'!$B200,'Reference Data sheet'!$C200,'Reference Data sheet'!$C201)))*100</f>
        <v>60</v>
      </c>
      <c r="N53" s="20">
        <f>IF(AVERAGE(N12:N14)&lt;='Reference Data sheet'!$B198,'Reference Data sheet'!$C198,IF(AVERAGE(N12:N14)&lt;='Reference Data sheet'!$B199,'Reference Data sheet'!$C199,IF(AVERAGE(N12:N14)&lt;='Reference Data sheet'!$B200,'Reference Data sheet'!$C200,'Reference Data sheet'!$C201)))*100</f>
        <v>60</v>
      </c>
      <c r="O53" s="20">
        <f>IF(AVERAGE(O12:O14)&lt;='Reference Data sheet'!$B198,'Reference Data sheet'!$C198,IF(AVERAGE(O12:O14)&lt;='Reference Data sheet'!$B199,'Reference Data sheet'!$C199,IF(AVERAGE(O12:O14)&lt;='Reference Data sheet'!$B200,'Reference Data sheet'!$C200,'Reference Data sheet'!$C201)))*100</f>
        <v>60</v>
      </c>
      <c r="P53" s="20">
        <f>IF(AVERAGE(P12:P14)&lt;='Reference Data sheet'!$B198,'Reference Data sheet'!$C198,IF(AVERAGE(P12:P14)&lt;='Reference Data sheet'!$B199,'Reference Data sheet'!$C199,IF(AVERAGE(P12:P14)&lt;='Reference Data sheet'!$B200,'Reference Data sheet'!$C200,'Reference Data sheet'!$C201)))*100</f>
        <v>60</v>
      </c>
      <c r="Q53" s="20">
        <f>IF(AVERAGE(Q12:Q14)&lt;='Reference Data sheet'!$B198,'Reference Data sheet'!$C198,IF(AVERAGE(Q12:Q14)&lt;='Reference Data sheet'!$B199,'Reference Data sheet'!$C199,IF(AVERAGE(Q12:Q14)&lt;='Reference Data sheet'!$B200,'Reference Data sheet'!$C200,'Reference Data sheet'!$C201)))*100</f>
        <v>60</v>
      </c>
      <c r="R53" s="20">
        <f>IF(AVERAGE(R12:R14)&lt;='Reference Data sheet'!$B198,'Reference Data sheet'!$C198,IF(AVERAGE(R12:R14)&lt;='Reference Data sheet'!$B199,'Reference Data sheet'!$C199,IF(AVERAGE(R12:R14)&lt;='Reference Data sheet'!$B200,'Reference Data sheet'!$C200,'Reference Data sheet'!$C201)))*100</f>
        <v>60</v>
      </c>
      <c r="S53" s="20">
        <f>IF(AVERAGE(S12:S14)&lt;='Reference Data sheet'!$B198,'Reference Data sheet'!$C198,IF(AVERAGE(S12:S14)&lt;='Reference Data sheet'!$B199,'Reference Data sheet'!$C199,IF(AVERAGE(S12:S14)&lt;='Reference Data sheet'!$B200,'Reference Data sheet'!$C200,'Reference Data sheet'!$C201)))*100</f>
        <v>60</v>
      </c>
      <c r="T53" s="20">
        <f>IF(AVERAGE(T12:T14)&lt;='Reference Data sheet'!$B198,'Reference Data sheet'!$C198,IF(AVERAGE(T12:T14)&lt;='Reference Data sheet'!$B199,'Reference Data sheet'!$C199,IF(AVERAGE(T12:T14)&lt;='Reference Data sheet'!$B200,'Reference Data sheet'!$C200,'Reference Data sheet'!$C201)))*100</f>
        <v>60</v>
      </c>
      <c r="U53" s="20">
        <f>IF(AVERAGE(U12:U14)&lt;='Reference Data sheet'!$B198,'Reference Data sheet'!$C198,IF(AVERAGE(U12:U14)&lt;='Reference Data sheet'!$B199,'Reference Data sheet'!$C199,IF(AVERAGE(U12:U14)&lt;='Reference Data sheet'!$B200,'Reference Data sheet'!$C200,'Reference Data sheet'!$C201)))*100</f>
        <v>60</v>
      </c>
      <c r="V53" s="20">
        <f>IF(AVERAGE(V12:V14)&lt;='Reference Data sheet'!$B198,'Reference Data sheet'!$C198,IF(AVERAGE(V12:V14)&lt;='Reference Data sheet'!$B199,'Reference Data sheet'!$C199,IF(AVERAGE(V12:V14)&lt;='Reference Data sheet'!$B200,'Reference Data sheet'!$C200,'Reference Data sheet'!$C201)))*100</f>
        <v>60</v>
      </c>
      <c r="W53" s="20">
        <f>IF(AVERAGE(W12:W14)&lt;='Reference Data sheet'!$B198,'Reference Data sheet'!$C198,IF(AVERAGE(W12:W14)&lt;='Reference Data sheet'!$B199,'Reference Data sheet'!$C199,IF(AVERAGE(W12:W14)&lt;='Reference Data sheet'!$B200,'Reference Data sheet'!$C200,'Reference Data sheet'!$C201)))*100</f>
        <v>60</v>
      </c>
      <c r="X53" s="20">
        <f>IF(AVERAGE(X12:X14)&lt;='Reference Data sheet'!$B198,'Reference Data sheet'!$C198,IF(AVERAGE(X12:X14)&lt;='Reference Data sheet'!$B199,'Reference Data sheet'!$C199,IF(AVERAGE(X12:X14)&lt;='Reference Data sheet'!$B200,'Reference Data sheet'!$C200,'Reference Data sheet'!$C201)))*100</f>
        <v>60</v>
      </c>
      <c r="Y53" s="20">
        <f>IF(AVERAGE(Y12:Y14)&lt;='Reference Data sheet'!$B198,'Reference Data sheet'!$C198,IF(AVERAGE(Y12:Y14)&lt;='Reference Data sheet'!$B199,'Reference Data sheet'!$C199,IF(AVERAGE(Y12:Y14)&lt;='Reference Data sheet'!$B200,'Reference Data sheet'!$C200,'Reference Data sheet'!$C201)))*100</f>
        <v>60</v>
      </c>
      <c r="Z53" s="20">
        <f>IF(AVERAGE(Z12:Z14)&lt;='Reference Data sheet'!$B198,'Reference Data sheet'!$C198,IF(AVERAGE(Z12:Z14)&lt;='Reference Data sheet'!$B199,'Reference Data sheet'!$C199,IF(AVERAGE(Z12:Z14)&lt;='Reference Data sheet'!$B200,'Reference Data sheet'!$C200,'Reference Data sheet'!$C201)))*100</f>
        <v>60</v>
      </c>
      <c r="AA53" s="20">
        <f>IF(AVERAGE(AA12:AA14)&lt;='Reference Data sheet'!$B198,'Reference Data sheet'!$C198,IF(AVERAGE(AA12:AA14)&lt;='Reference Data sheet'!$B199,'Reference Data sheet'!$C199,IF(AVERAGE(AA12:AA14)&lt;='Reference Data sheet'!$B200,'Reference Data sheet'!$C200,'Reference Data sheet'!$C201)))*100</f>
        <v>60</v>
      </c>
      <c r="AB53" s="20">
        <f>IF(AVERAGE(AB12:AB14)&lt;='Reference Data sheet'!$B198,'Reference Data sheet'!$C198,IF(AVERAGE(AB12:AB14)&lt;='Reference Data sheet'!$B199,'Reference Data sheet'!$C199,IF(AVERAGE(AB12:AB14)&lt;='Reference Data sheet'!$B200,'Reference Data sheet'!$C200,'Reference Data sheet'!$C201)))*100</f>
        <v>60</v>
      </c>
      <c r="AC53" s="20">
        <f>IF(AVERAGE(AC12:AC14)&lt;='Reference Data sheet'!$B198,'Reference Data sheet'!$C198,IF(AVERAGE(AC12:AC14)&lt;='Reference Data sheet'!$B199,'Reference Data sheet'!$C199,IF(AVERAGE(AC12:AC14)&lt;='Reference Data sheet'!$B200,'Reference Data sheet'!$C200,'Reference Data sheet'!$C201)))*100</f>
        <v>60</v>
      </c>
      <c r="AD53" s="20">
        <f>IF(AVERAGE(AD12:AD14)&lt;='Reference Data sheet'!$B198,'Reference Data sheet'!$C198,IF(AVERAGE(AD12:AD14)&lt;='Reference Data sheet'!$B199,'Reference Data sheet'!$C199,IF(AVERAGE(AD12:AD14)&lt;='Reference Data sheet'!$B200,'Reference Data sheet'!$C200,'Reference Data sheet'!$C201)))*100</f>
        <v>60</v>
      </c>
      <c r="AE53" s="20">
        <f>IF(AVERAGE(AE12:AE14)&lt;='Reference Data sheet'!$B198,'Reference Data sheet'!$C198,IF(AVERAGE(AE12:AE14)&lt;='Reference Data sheet'!$B199,'Reference Data sheet'!$C199,IF(AVERAGE(AE12:AE14)&lt;='Reference Data sheet'!$B200,'Reference Data sheet'!$C200,'Reference Data sheet'!$C201)))*100</f>
        <v>60</v>
      </c>
      <c r="AF53" s="20">
        <f>IF(AVERAGE(AF12:AF14)&lt;='Reference Data sheet'!$B198,'Reference Data sheet'!$C198,IF(AVERAGE(AF12:AF14)&lt;='Reference Data sheet'!$B199,'Reference Data sheet'!$C199,IF(AVERAGE(AF12:AF14)&lt;='Reference Data sheet'!$B200,'Reference Data sheet'!$C200,'Reference Data sheet'!$C201)))*100</f>
        <v>60</v>
      </c>
      <c r="AG53" s="20">
        <f>IF(AVERAGE(AG12:AG14)&lt;='Reference Data sheet'!$B198,'Reference Data sheet'!$C198,IF(AVERAGE(AG12:AG14)&lt;='Reference Data sheet'!$B199,'Reference Data sheet'!$C199,IF(AVERAGE(AG12:AG14)&lt;='Reference Data sheet'!$B200,'Reference Data sheet'!$C200,'Reference Data sheet'!$C201)))*100</f>
        <v>60</v>
      </c>
      <c r="AH53" s="20">
        <f>IF(AVERAGE(AH12:AH14)&lt;='Reference Data sheet'!$B198,'Reference Data sheet'!$C198,IF(AVERAGE(AH12:AH14)&lt;='Reference Data sheet'!$B199,'Reference Data sheet'!$C199,IF(AVERAGE(AH12:AH14)&lt;='Reference Data sheet'!$B200,'Reference Data sheet'!$C200,'Reference Data sheet'!$C201)))*100</f>
        <v>60</v>
      </c>
      <c r="AI53" s="20">
        <f>IF(AVERAGE(AI12:AI14)&lt;='Reference Data sheet'!$B198,'Reference Data sheet'!$C198,IF(AVERAGE(AI12:AI14)&lt;='Reference Data sheet'!$B199,'Reference Data sheet'!$C199,IF(AVERAGE(AI12:AI14)&lt;='Reference Data sheet'!$B200,'Reference Data sheet'!$C200,'Reference Data sheet'!$C201)))*100</f>
        <v>60</v>
      </c>
      <c r="AJ53" s="20">
        <f>IF(AVERAGE(AJ12:AJ14)&lt;='Reference Data sheet'!$B198,'Reference Data sheet'!$C198,IF(AVERAGE(AJ12:AJ14)&lt;='Reference Data sheet'!$B199,'Reference Data sheet'!$C199,IF(AVERAGE(AJ12:AJ14)&lt;='Reference Data sheet'!$B200,'Reference Data sheet'!$C200,'Reference Data sheet'!$C201)))*100</f>
        <v>60</v>
      </c>
      <c r="AK53" s="20">
        <f>IF(AVERAGE(AK12:AK14)&lt;='Reference Data sheet'!$B198,'Reference Data sheet'!$C198,IF(AVERAGE(AK12:AK14)&lt;='Reference Data sheet'!$B199,'Reference Data sheet'!$C199,IF(AVERAGE(AK12:AK14)&lt;='Reference Data sheet'!$B200,'Reference Data sheet'!$C200,'Reference Data sheet'!$C201)))*100</f>
        <v>60</v>
      </c>
      <c r="AL53" s="20">
        <f>IF(AVERAGE(AL12:AL14)&lt;='Reference Data sheet'!$B198,'Reference Data sheet'!$C198,IF(AVERAGE(AL12:AL14)&lt;='Reference Data sheet'!$B199,'Reference Data sheet'!$C199,IF(AVERAGE(AL12:AL14)&lt;='Reference Data sheet'!$B200,'Reference Data sheet'!$C200,'Reference Data sheet'!$C201)))*100</f>
        <v>60</v>
      </c>
      <c r="AM53" s="20">
        <f>IF(AVERAGE(AM12:AM14)&lt;='Reference Data sheet'!$B198,'Reference Data sheet'!$C198,IF(AVERAGE(AM12:AM14)&lt;='Reference Data sheet'!$B199,'Reference Data sheet'!$C199,IF(AVERAGE(AM12:AM14)&lt;='Reference Data sheet'!$B200,'Reference Data sheet'!$C200,'Reference Data sheet'!$C201)))*100</f>
        <v>60</v>
      </c>
      <c r="AN53" s="20">
        <f>IF(AVERAGE(AN12:AN14)&lt;='Reference Data sheet'!$B198,'Reference Data sheet'!$C198,IF(AVERAGE(AN12:AN14)&lt;='Reference Data sheet'!$B199,'Reference Data sheet'!$C199,IF(AVERAGE(AN12:AN14)&lt;='Reference Data sheet'!$B200,'Reference Data sheet'!$C200,'Reference Data sheet'!$C201)))*100</f>
        <v>60</v>
      </c>
      <c r="AO53" s="20">
        <f>IF(AVERAGE(AO12:AO14)&lt;='Reference Data sheet'!$B198,'Reference Data sheet'!$C198,IF(AVERAGE(AO12:AO14)&lt;='Reference Data sheet'!$B199,'Reference Data sheet'!$C199,IF(AVERAGE(AO12:AO14)&lt;='Reference Data sheet'!$B200,'Reference Data sheet'!$C200,'Reference Data sheet'!$C201)))*100</f>
        <v>60</v>
      </c>
      <c r="AP53" s="20">
        <f>IF(AVERAGE(AP12:AP14)&lt;='Reference Data sheet'!$B198,'Reference Data sheet'!$C198,IF(AVERAGE(AP12:AP14)&lt;='Reference Data sheet'!$B199,'Reference Data sheet'!$C199,IF(AVERAGE(AP12:AP14)&lt;='Reference Data sheet'!$B200,'Reference Data sheet'!$C200,'Reference Data sheet'!$C201)))*100</f>
        <v>60</v>
      </c>
      <c r="AQ53" s="20">
        <f>IF(AVERAGE(AQ12:AQ14)&lt;='Reference Data sheet'!$B198,'Reference Data sheet'!$C198,IF(AVERAGE(AQ12:AQ14)&lt;='Reference Data sheet'!$B199,'Reference Data sheet'!$C199,IF(AVERAGE(AQ12:AQ14)&lt;='Reference Data sheet'!$B200,'Reference Data sheet'!$C200,'Reference Data sheet'!$C201)))*100</f>
        <v>60</v>
      </c>
      <c r="AR53" s="20">
        <f>IF(AVERAGE(AR12:AR14)&lt;='Reference Data sheet'!$B198,'Reference Data sheet'!$C198,IF(AVERAGE(AR12:AR14)&lt;='Reference Data sheet'!$B199,'Reference Data sheet'!$C199,IF(AVERAGE(AR12:AR14)&lt;='Reference Data sheet'!$B200,'Reference Data sheet'!$C200,'Reference Data sheet'!$C201)))*100</f>
        <v>60</v>
      </c>
      <c r="AS53" s="20">
        <f>IF(AVERAGE(AS12:AS14)&lt;='Reference Data sheet'!$B198,'Reference Data sheet'!$C198,IF(AVERAGE(AS12:AS14)&lt;='Reference Data sheet'!$B199,'Reference Data sheet'!$C199,IF(AVERAGE(AS12:AS14)&lt;='Reference Data sheet'!$B200,'Reference Data sheet'!$C200,'Reference Data sheet'!$C201)))*100</f>
        <v>60</v>
      </c>
      <c r="AT53" s="20">
        <f>IF(AVERAGE(AT12:AT14)&lt;='Reference Data sheet'!$B198,'Reference Data sheet'!$C198,IF(AVERAGE(AT12:AT14)&lt;='Reference Data sheet'!$B199,'Reference Data sheet'!$C199,IF(AVERAGE(AT12:AT14)&lt;='Reference Data sheet'!$B200,'Reference Data sheet'!$C200,'Reference Data sheet'!$C201)))*100</f>
        <v>60</v>
      </c>
      <c r="AU53" s="20">
        <f>IF(AVERAGE(AU12:AU14)&lt;='Reference Data sheet'!$B198,'Reference Data sheet'!$C198,IF(AVERAGE(AU12:AU14)&lt;='Reference Data sheet'!$B199,'Reference Data sheet'!$C199,IF(AVERAGE(AU12:AU14)&lt;='Reference Data sheet'!$B200,'Reference Data sheet'!$C200,'Reference Data sheet'!$C201)))*100</f>
        <v>60</v>
      </c>
      <c r="AV53" s="20">
        <f>IF(AVERAGE(AV12:AV14)&lt;='Reference Data sheet'!$B198,'Reference Data sheet'!$C198,IF(AVERAGE(AV12:AV14)&lt;='Reference Data sheet'!$B199,'Reference Data sheet'!$C199,IF(AVERAGE(AV12:AV14)&lt;='Reference Data sheet'!$B200,'Reference Data sheet'!$C200,'Reference Data sheet'!$C201)))*100</f>
        <v>60</v>
      </c>
      <c r="AW53" s="20">
        <f>IF(AVERAGE(AW12:AW14)&lt;='Reference Data sheet'!$B198,'Reference Data sheet'!$C198,IF(AVERAGE(AW12:AW14)&lt;='Reference Data sheet'!$B199,'Reference Data sheet'!$C199,IF(AVERAGE(AW12:AW14)&lt;='Reference Data sheet'!$B200,'Reference Data sheet'!$C200,'Reference Data sheet'!$C201)))*100</f>
        <v>60</v>
      </c>
      <c r="AX53" s="20">
        <f>IF(AVERAGE(AX12:AX14)&lt;='Reference Data sheet'!$B198,'Reference Data sheet'!$C198,IF(AVERAGE(AX12:AX14)&lt;='Reference Data sheet'!$B199,'Reference Data sheet'!$C199,IF(AVERAGE(AX12:AX14)&lt;='Reference Data sheet'!$B200,'Reference Data sheet'!$C200,'Reference Data sheet'!$C201)))*100</f>
        <v>60</v>
      </c>
      <c r="AY53" s="20">
        <f>IF(AVERAGE(AY12:AY14)&lt;='Reference Data sheet'!$B198,'Reference Data sheet'!$C198,IF(AVERAGE(AY12:AY14)&lt;='Reference Data sheet'!$B199,'Reference Data sheet'!$C199,IF(AVERAGE(AY12:AY14)&lt;='Reference Data sheet'!$B200,'Reference Data sheet'!$C200,'Reference Data sheet'!$C201)))*100</f>
        <v>60</v>
      </c>
      <c r="AZ53" s="20">
        <f>IF(AVERAGE(AZ12:AZ14)&lt;='Reference Data sheet'!$B198,'Reference Data sheet'!$C198,IF(AVERAGE(AZ12:AZ14)&lt;='Reference Data sheet'!$B199,'Reference Data sheet'!$C199,IF(AVERAGE(AZ12:AZ14)&lt;='Reference Data sheet'!$B200,'Reference Data sheet'!$C200,'Reference Data sheet'!$C201)))*100</f>
        <v>60</v>
      </c>
      <c r="BA53" s="20">
        <f>IF(AVERAGE(BA12:BA14)&lt;='Reference Data sheet'!$B198,'Reference Data sheet'!$C198,IF(AVERAGE(BA12:BA14)&lt;='Reference Data sheet'!$B199,'Reference Data sheet'!$C199,IF(AVERAGE(BA12:BA14)&lt;='Reference Data sheet'!$B200,'Reference Data sheet'!$C200,'Reference Data sheet'!$C201)))*100</f>
        <v>60</v>
      </c>
      <c r="BB53" s="20">
        <f>IF(AVERAGE(BB12:BB14)&lt;='Reference Data sheet'!$B198,'Reference Data sheet'!$C198,IF(AVERAGE(BB12:BB14)&lt;='Reference Data sheet'!$B199,'Reference Data sheet'!$C199,IF(AVERAGE(BB12:BB14)&lt;='Reference Data sheet'!$B200,'Reference Data sheet'!$C200,'Reference Data sheet'!$C201)))*100</f>
        <v>60</v>
      </c>
      <c r="BC53" s="20">
        <f>IF(AVERAGE(BC12:BC14)&lt;='Reference Data sheet'!$B198,'Reference Data sheet'!$C198,IF(AVERAGE(BC12:BC14)&lt;='Reference Data sheet'!$B199,'Reference Data sheet'!$C199,IF(AVERAGE(BC12:BC14)&lt;='Reference Data sheet'!$B200,'Reference Data sheet'!$C200,'Reference Data sheet'!$C201)))*100</f>
        <v>60</v>
      </c>
      <c r="BD53" s="20">
        <f>IF(AVERAGE(BD12:BD14)&lt;='Reference Data sheet'!$B198,'Reference Data sheet'!$C198,IF(AVERAGE(BD12:BD14)&lt;='Reference Data sheet'!$B199,'Reference Data sheet'!$C199,IF(AVERAGE(BD12:BD14)&lt;='Reference Data sheet'!$B200,'Reference Data sheet'!$C200,'Reference Data sheet'!$C201)))*100</f>
        <v>60</v>
      </c>
      <c r="BE53" s="20">
        <f>IF(AVERAGE(BE12:BE14)&lt;='Reference Data sheet'!$B198,'Reference Data sheet'!$C198,IF(AVERAGE(BE12:BE14)&lt;='Reference Data sheet'!$B199,'Reference Data sheet'!$C199,IF(AVERAGE(BE12:BE14)&lt;='Reference Data sheet'!$B200,'Reference Data sheet'!$C200,'Reference Data sheet'!$C201)))*100</f>
        <v>60</v>
      </c>
      <c r="BF53" s="20">
        <f>IF(AVERAGE(BF12:BF14)&lt;='Reference Data sheet'!$B198,'Reference Data sheet'!$C198,IF(AVERAGE(BF12:BF14)&lt;='Reference Data sheet'!$B199,'Reference Data sheet'!$C199,IF(AVERAGE(BF12:BF14)&lt;='Reference Data sheet'!$B200,'Reference Data sheet'!$C200,'Reference Data sheet'!$C201)))*100</f>
        <v>60</v>
      </c>
      <c r="BG53" s="20">
        <f>IF(AVERAGE(BG12:BG14)&lt;='Reference Data sheet'!$B198,'Reference Data sheet'!$C198,IF(AVERAGE(BG12:BG14)&lt;='Reference Data sheet'!$B199,'Reference Data sheet'!$C199,IF(AVERAGE(BG12:BG14)&lt;='Reference Data sheet'!$B200,'Reference Data sheet'!$C200,'Reference Data sheet'!$C201)))*100</f>
        <v>60</v>
      </c>
      <c r="BH53" s="20">
        <f>IF(AVERAGE(BH12:BH14)&lt;='Reference Data sheet'!$B198,'Reference Data sheet'!$C198,IF(AVERAGE(BH12:BH14)&lt;='Reference Data sheet'!$B199,'Reference Data sheet'!$C199,IF(AVERAGE(BH12:BH14)&lt;='Reference Data sheet'!$B200,'Reference Data sheet'!$C200,'Reference Data sheet'!$C201)))*100</f>
        <v>60</v>
      </c>
      <c r="BI53" s="20">
        <f>IF(AVERAGE(BI12:BI14)&lt;='Reference Data sheet'!$B198,'Reference Data sheet'!$C198,IF(AVERAGE(BI12:BI14)&lt;='Reference Data sheet'!$B199,'Reference Data sheet'!$C199,IF(AVERAGE(BI12:BI14)&lt;='Reference Data sheet'!$B200,'Reference Data sheet'!$C200,'Reference Data sheet'!$C201)))*100</f>
        <v>60</v>
      </c>
    </row>
    <row r="54" spans="1:62" x14ac:dyDescent="0.3">
      <c r="A54" s="2" t="s">
        <v>100</v>
      </c>
      <c r="B54" s="20">
        <f t="shared" ref="B54:G54" si="78">IF(B28="Full",100,IF(B28="Partial",50,0))</f>
        <v>100</v>
      </c>
      <c r="C54" s="20">
        <f t="shared" ref="C54:BI54" si="79">IF(C28="Full",100,IF(C28="Partial",50,0))</f>
        <v>100</v>
      </c>
      <c r="D54" s="20">
        <f t="shared" si="79"/>
        <v>100</v>
      </c>
      <c r="E54" s="20">
        <f t="shared" si="79"/>
        <v>100</v>
      </c>
      <c r="F54" s="20">
        <f t="shared" si="79"/>
        <v>100</v>
      </c>
      <c r="G54" s="20">
        <f t="shared" si="79"/>
        <v>100</v>
      </c>
      <c r="H54" s="20">
        <f t="shared" si="79"/>
        <v>100</v>
      </c>
      <c r="I54" s="20">
        <f t="shared" si="79"/>
        <v>100</v>
      </c>
      <c r="J54" s="20">
        <f t="shared" si="79"/>
        <v>100</v>
      </c>
      <c r="K54" s="20">
        <f t="shared" si="79"/>
        <v>100</v>
      </c>
      <c r="L54" s="20">
        <f t="shared" si="79"/>
        <v>100</v>
      </c>
      <c r="M54" s="20">
        <f t="shared" si="79"/>
        <v>100</v>
      </c>
      <c r="N54" s="20">
        <f t="shared" si="79"/>
        <v>100</v>
      </c>
      <c r="O54" s="20">
        <f t="shared" si="79"/>
        <v>100</v>
      </c>
      <c r="P54" s="20">
        <f t="shared" si="79"/>
        <v>100</v>
      </c>
      <c r="Q54" s="20">
        <f t="shared" si="79"/>
        <v>100</v>
      </c>
      <c r="R54" s="20">
        <f t="shared" si="79"/>
        <v>100</v>
      </c>
      <c r="S54" s="20">
        <f t="shared" si="79"/>
        <v>100</v>
      </c>
      <c r="T54" s="20">
        <f t="shared" si="79"/>
        <v>100</v>
      </c>
      <c r="U54" s="20">
        <f t="shared" si="79"/>
        <v>100</v>
      </c>
      <c r="V54" s="20">
        <f t="shared" si="79"/>
        <v>100</v>
      </c>
      <c r="W54" s="20">
        <f t="shared" si="79"/>
        <v>100</v>
      </c>
      <c r="X54" s="20">
        <f t="shared" si="79"/>
        <v>100</v>
      </c>
      <c r="Y54" s="20">
        <f t="shared" si="79"/>
        <v>100</v>
      </c>
      <c r="Z54" s="20">
        <f t="shared" si="79"/>
        <v>100</v>
      </c>
      <c r="AA54" s="20">
        <f t="shared" si="79"/>
        <v>100</v>
      </c>
      <c r="AB54" s="20">
        <f t="shared" si="79"/>
        <v>100</v>
      </c>
      <c r="AC54" s="20">
        <f t="shared" si="79"/>
        <v>100</v>
      </c>
      <c r="AD54" s="20">
        <f t="shared" si="79"/>
        <v>100</v>
      </c>
      <c r="AE54" s="20">
        <f t="shared" si="79"/>
        <v>100</v>
      </c>
      <c r="AF54" s="20">
        <f t="shared" si="79"/>
        <v>100</v>
      </c>
      <c r="AG54" s="20">
        <f t="shared" si="79"/>
        <v>100</v>
      </c>
      <c r="AH54" s="20">
        <f t="shared" si="79"/>
        <v>100</v>
      </c>
      <c r="AI54" s="20">
        <f t="shared" si="79"/>
        <v>100</v>
      </c>
      <c r="AJ54" s="20">
        <f t="shared" si="79"/>
        <v>100</v>
      </c>
      <c r="AK54" s="20">
        <f t="shared" si="79"/>
        <v>100</v>
      </c>
      <c r="AL54" s="20">
        <f t="shared" si="79"/>
        <v>100</v>
      </c>
      <c r="AM54" s="20">
        <f t="shared" si="79"/>
        <v>100</v>
      </c>
      <c r="AN54" s="20">
        <f t="shared" si="79"/>
        <v>100</v>
      </c>
      <c r="AO54" s="20">
        <f t="shared" si="79"/>
        <v>100</v>
      </c>
      <c r="AP54" s="20">
        <f t="shared" si="79"/>
        <v>100</v>
      </c>
      <c r="AQ54" s="20">
        <f t="shared" si="79"/>
        <v>100</v>
      </c>
      <c r="AR54" s="20">
        <f t="shared" si="79"/>
        <v>100</v>
      </c>
      <c r="AS54" s="20">
        <f t="shared" si="79"/>
        <v>100</v>
      </c>
      <c r="AT54" s="20">
        <f t="shared" si="79"/>
        <v>100</v>
      </c>
      <c r="AU54" s="20">
        <f t="shared" si="79"/>
        <v>100</v>
      </c>
      <c r="AV54" s="20">
        <f t="shared" si="79"/>
        <v>100</v>
      </c>
      <c r="AW54" s="20">
        <f t="shared" si="79"/>
        <v>100</v>
      </c>
      <c r="AX54" s="20">
        <f t="shared" si="79"/>
        <v>100</v>
      </c>
      <c r="AY54" s="20">
        <f t="shared" si="79"/>
        <v>100</v>
      </c>
      <c r="AZ54" s="20">
        <f t="shared" si="79"/>
        <v>100</v>
      </c>
      <c r="BA54" s="20">
        <f t="shared" si="79"/>
        <v>100</v>
      </c>
      <c r="BB54" s="20">
        <f t="shared" si="79"/>
        <v>100</v>
      </c>
      <c r="BC54" s="20">
        <f t="shared" si="79"/>
        <v>100</v>
      </c>
      <c r="BD54" s="20">
        <f t="shared" si="79"/>
        <v>100</v>
      </c>
      <c r="BE54" s="20">
        <f t="shared" si="79"/>
        <v>100</v>
      </c>
      <c r="BF54" s="20">
        <f t="shared" si="79"/>
        <v>100</v>
      </c>
      <c r="BG54" s="20">
        <f t="shared" si="79"/>
        <v>100</v>
      </c>
      <c r="BH54" s="20">
        <f t="shared" si="79"/>
        <v>100</v>
      </c>
      <c r="BI54" s="20">
        <f t="shared" si="79"/>
        <v>100</v>
      </c>
    </row>
    <row r="55" spans="1:62" x14ac:dyDescent="0.3">
      <c r="A55" s="2" t="s">
        <v>101</v>
      </c>
      <c r="B55" s="20">
        <f>IF(B29="Yes",100,0)</f>
        <v>0</v>
      </c>
      <c r="C55" s="20">
        <f t="shared" ref="C55:BI55" si="80">IF(C29="Yes",100,0)</f>
        <v>0</v>
      </c>
      <c r="D55" s="20">
        <f t="shared" si="80"/>
        <v>0</v>
      </c>
      <c r="E55" s="20">
        <f t="shared" si="80"/>
        <v>0</v>
      </c>
      <c r="F55" s="20">
        <f t="shared" si="80"/>
        <v>0</v>
      </c>
      <c r="G55" s="20">
        <f t="shared" si="80"/>
        <v>0</v>
      </c>
      <c r="H55" s="20">
        <f t="shared" si="80"/>
        <v>0</v>
      </c>
      <c r="I55" s="20">
        <f t="shared" si="80"/>
        <v>0</v>
      </c>
      <c r="J55" s="20">
        <f t="shared" si="80"/>
        <v>0</v>
      </c>
      <c r="K55" s="20">
        <f t="shared" si="80"/>
        <v>0</v>
      </c>
      <c r="L55" s="20">
        <f t="shared" si="80"/>
        <v>0</v>
      </c>
      <c r="M55" s="20">
        <f t="shared" si="80"/>
        <v>0</v>
      </c>
      <c r="N55" s="20">
        <f t="shared" si="80"/>
        <v>0</v>
      </c>
      <c r="O55" s="20">
        <f t="shared" si="80"/>
        <v>0</v>
      </c>
      <c r="P55" s="20">
        <f t="shared" si="80"/>
        <v>0</v>
      </c>
      <c r="Q55" s="20">
        <f t="shared" si="80"/>
        <v>0</v>
      </c>
      <c r="R55" s="20">
        <f t="shared" si="80"/>
        <v>0</v>
      </c>
      <c r="S55" s="20">
        <f t="shared" si="80"/>
        <v>0</v>
      </c>
      <c r="T55" s="20">
        <f t="shared" si="80"/>
        <v>0</v>
      </c>
      <c r="U55" s="20">
        <f t="shared" si="80"/>
        <v>0</v>
      </c>
      <c r="V55" s="20">
        <f t="shared" si="80"/>
        <v>0</v>
      </c>
      <c r="W55" s="20">
        <f t="shared" si="80"/>
        <v>0</v>
      </c>
      <c r="X55" s="20">
        <f t="shared" si="80"/>
        <v>0</v>
      </c>
      <c r="Y55" s="20">
        <f t="shared" si="80"/>
        <v>0</v>
      </c>
      <c r="Z55" s="20">
        <f t="shared" si="80"/>
        <v>0</v>
      </c>
      <c r="AA55" s="20">
        <f t="shared" si="80"/>
        <v>0</v>
      </c>
      <c r="AB55" s="20">
        <f t="shared" si="80"/>
        <v>0</v>
      </c>
      <c r="AC55" s="20">
        <f t="shared" si="80"/>
        <v>0</v>
      </c>
      <c r="AD55" s="20">
        <f t="shared" si="80"/>
        <v>0</v>
      </c>
      <c r="AE55" s="20">
        <f t="shared" si="80"/>
        <v>0</v>
      </c>
      <c r="AF55" s="20">
        <f t="shared" si="80"/>
        <v>0</v>
      </c>
      <c r="AG55" s="20">
        <f t="shared" si="80"/>
        <v>0</v>
      </c>
      <c r="AH55" s="20">
        <f t="shared" si="80"/>
        <v>0</v>
      </c>
      <c r="AI55" s="20">
        <f t="shared" si="80"/>
        <v>0</v>
      </c>
      <c r="AJ55" s="20">
        <f t="shared" si="80"/>
        <v>0</v>
      </c>
      <c r="AK55" s="20">
        <f t="shared" si="80"/>
        <v>0</v>
      </c>
      <c r="AL55" s="20">
        <f t="shared" si="80"/>
        <v>0</v>
      </c>
      <c r="AM55" s="20">
        <f t="shared" si="80"/>
        <v>0</v>
      </c>
      <c r="AN55" s="20">
        <f t="shared" si="80"/>
        <v>0</v>
      </c>
      <c r="AO55" s="20">
        <f t="shared" si="80"/>
        <v>0</v>
      </c>
      <c r="AP55" s="20">
        <f t="shared" si="80"/>
        <v>0</v>
      </c>
      <c r="AQ55" s="20">
        <f t="shared" si="80"/>
        <v>0</v>
      </c>
      <c r="AR55" s="20">
        <f t="shared" si="80"/>
        <v>0</v>
      </c>
      <c r="AS55" s="20">
        <f t="shared" si="80"/>
        <v>0</v>
      </c>
      <c r="AT55" s="20">
        <f t="shared" si="80"/>
        <v>0</v>
      </c>
      <c r="AU55" s="20">
        <f t="shared" si="80"/>
        <v>0</v>
      </c>
      <c r="AV55" s="20">
        <f t="shared" si="80"/>
        <v>0</v>
      </c>
      <c r="AW55" s="20">
        <f t="shared" si="80"/>
        <v>0</v>
      </c>
      <c r="AX55" s="20">
        <f t="shared" si="80"/>
        <v>0</v>
      </c>
      <c r="AY55" s="20">
        <f t="shared" si="80"/>
        <v>0</v>
      </c>
      <c r="AZ55" s="20">
        <f t="shared" si="80"/>
        <v>0</v>
      </c>
      <c r="BA55" s="20">
        <f t="shared" si="80"/>
        <v>0</v>
      </c>
      <c r="BB55" s="20">
        <f t="shared" si="80"/>
        <v>0</v>
      </c>
      <c r="BC55" s="20">
        <f t="shared" si="80"/>
        <v>0</v>
      </c>
      <c r="BD55" s="20">
        <f t="shared" si="80"/>
        <v>0</v>
      </c>
      <c r="BE55" s="20">
        <f t="shared" si="80"/>
        <v>0</v>
      </c>
      <c r="BF55" s="20">
        <f t="shared" si="80"/>
        <v>0</v>
      </c>
      <c r="BG55" s="20">
        <f t="shared" si="80"/>
        <v>0</v>
      </c>
      <c r="BH55" s="20">
        <f t="shared" si="80"/>
        <v>0</v>
      </c>
      <c r="BI55" s="20">
        <f t="shared" si="80"/>
        <v>0</v>
      </c>
    </row>
    <row r="56" spans="1:62" x14ac:dyDescent="0.3">
      <c r="A56" s="2" t="s">
        <v>102</v>
      </c>
      <c r="B56" s="20">
        <f t="shared" ref="B56:G56" si="81">IF(B30&lt;=3,0,IF(B30&lt;=6,50,100))</f>
        <v>0</v>
      </c>
      <c r="C56" s="20">
        <f t="shared" ref="C56:BI56" si="82">IF(C30&lt;=3,0,IF(C30&lt;=6,50,100))</f>
        <v>0</v>
      </c>
      <c r="D56" s="20">
        <f t="shared" si="82"/>
        <v>50</v>
      </c>
      <c r="E56" s="20">
        <f t="shared" si="82"/>
        <v>0</v>
      </c>
      <c r="F56" s="20">
        <f t="shared" si="82"/>
        <v>50</v>
      </c>
      <c r="G56" s="20">
        <f t="shared" si="82"/>
        <v>50</v>
      </c>
      <c r="H56" s="20">
        <f t="shared" si="82"/>
        <v>0</v>
      </c>
      <c r="I56" s="20">
        <f t="shared" si="82"/>
        <v>50</v>
      </c>
      <c r="J56" s="20">
        <f t="shared" si="82"/>
        <v>50</v>
      </c>
      <c r="K56" s="20">
        <f t="shared" si="82"/>
        <v>50</v>
      </c>
      <c r="L56" s="20">
        <f t="shared" si="82"/>
        <v>50</v>
      </c>
      <c r="M56" s="20">
        <f t="shared" si="82"/>
        <v>50</v>
      </c>
      <c r="N56" s="20">
        <f t="shared" si="82"/>
        <v>50</v>
      </c>
      <c r="O56" s="20">
        <f t="shared" si="82"/>
        <v>50</v>
      </c>
      <c r="P56" s="20">
        <f t="shared" si="82"/>
        <v>50</v>
      </c>
      <c r="Q56" s="20">
        <f t="shared" si="82"/>
        <v>50</v>
      </c>
      <c r="R56" s="20">
        <f t="shared" si="82"/>
        <v>0</v>
      </c>
      <c r="S56" s="20">
        <f t="shared" si="82"/>
        <v>50</v>
      </c>
      <c r="T56" s="20">
        <f t="shared" si="82"/>
        <v>0</v>
      </c>
      <c r="U56" s="20">
        <f t="shared" si="82"/>
        <v>50</v>
      </c>
      <c r="V56" s="20">
        <f t="shared" si="82"/>
        <v>50</v>
      </c>
      <c r="W56" s="20">
        <f t="shared" si="82"/>
        <v>50</v>
      </c>
      <c r="X56" s="20">
        <f t="shared" si="82"/>
        <v>50</v>
      </c>
      <c r="Y56" s="20">
        <f t="shared" si="82"/>
        <v>50</v>
      </c>
      <c r="Z56" s="20">
        <f t="shared" si="82"/>
        <v>50</v>
      </c>
      <c r="AA56" s="20">
        <f t="shared" si="82"/>
        <v>50</v>
      </c>
      <c r="AB56" s="20">
        <f t="shared" si="82"/>
        <v>50</v>
      </c>
      <c r="AC56" s="20">
        <f t="shared" si="82"/>
        <v>0</v>
      </c>
      <c r="AD56" s="20">
        <f t="shared" si="82"/>
        <v>100</v>
      </c>
      <c r="AE56" s="20">
        <f t="shared" si="82"/>
        <v>0</v>
      </c>
      <c r="AF56" s="20">
        <f t="shared" si="82"/>
        <v>50</v>
      </c>
      <c r="AG56" s="20">
        <f t="shared" si="82"/>
        <v>50</v>
      </c>
      <c r="AH56" s="20">
        <f t="shared" si="82"/>
        <v>0</v>
      </c>
      <c r="AI56" s="20">
        <f t="shared" si="82"/>
        <v>0</v>
      </c>
      <c r="AJ56" s="20">
        <f t="shared" si="82"/>
        <v>50</v>
      </c>
      <c r="AK56" s="20">
        <f t="shared" si="82"/>
        <v>50</v>
      </c>
      <c r="AL56" s="20">
        <f t="shared" si="82"/>
        <v>50</v>
      </c>
      <c r="AM56" s="20">
        <f t="shared" si="82"/>
        <v>0</v>
      </c>
      <c r="AN56" s="20">
        <f t="shared" si="82"/>
        <v>50</v>
      </c>
      <c r="AO56" s="20">
        <f t="shared" si="82"/>
        <v>50</v>
      </c>
      <c r="AP56" s="20">
        <f t="shared" si="82"/>
        <v>50</v>
      </c>
      <c r="AQ56" s="20">
        <f t="shared" si="82"/>
        <v>50</v>
      </c>
      <c r="AR56" s="20">
        <f t="shared" si="82"/>
        <v>50</v>
      </c>
      <c r="AS56" s="20">
        <f t="shared" si="82"/>
        <v>50</v>
      </c>
      <c r="AT56" s="20">
        <f t="shared" si="82"/>
        <v>50</v>
      </c>
      <c r="AU56" s="20">
        <f t="shared" si="82"/>
        <v>100</v>
      </c>
      <c r="AV56" s="20">
        <f t="shared" si="82"/>
        <v>50</v>
      </c>
      <c r="AW56" s="20">
        <f t="shared" si="82"/>
        <v>100</v>
      </c>
      <c r="AX56" s="20">
        <f t="shared" si="82"/>
        <v>50</v>
      </c>
      <c r="AY56" s="20">
        <f t="shared" si="82"/>
        <v>50</v>
      </c>
      <c r="AZ56" s="20">
        <f t="shared" si="82"/>
        <v>0</v>
      </c>
      <c r="BA56" s="20">
        <f t="shared" si="82"/>
        <v>50</v>
      </c>
      <c r="BB56" s="20">
        <f t="shared" si="82"/>
        <v>50</v>
      </c>
      <c r="BC56" s="20">
        <f t="shared" si="82"/>
        <v>50</v>
      </c>
      <c r="BD56" s="20">
        <f t="shared" si="82"/>
        <v>50</v>
      </c>
      <c r="BE56" s="20">
        <f t="shared" si="82"/>
        <v>50</v>
      </c>
      <c r="BF56" s="20">
        <f t="shared" si="82"/>
        <v>0</v>
      </c>
      <c r="BG56" s="20">
        <f t="shared" si="82"/>
        <v>100</v>
      </c>
      <c r="BH56" s="20">
        <f t="shared" si="82"/>
        <v>50</v>
      </c>
      <c r="BI56" s="20">
        <f t="shared" si="82"/>
        <v>0</v>
      </c>
    </row>
    <row r="57" spans="1:62" s="1" customFormat="1" x14ac:dyDescent="0.3">
      <c r="A57" s="31" t="s">
        <v>103</v>
      </c>
      <c r="B57" s="32">
        <f t="shared" ref="B57:G57" si="83">ROUND((B53+B54+B55+B56)/4,0)</f>
        <v>40</v>
      </c>
      <c r="C57" s="32">
        <f t="shared" ref="C57:BI57" si="84">ROUND((C53+C54+C55+C56)/4,0)</f>
        <v>40</v>
      </c>
      <c r="D57" s="32">
        <f t="shared" si="84"/>
        <v>53</v>
      </c>
      <c r="E57" s="32">
        <f t="shared" si="84"/>
        <v>40</v>
      </c>
      <c r="F57" s="32">
        <f t="shared" si="84"/>
        <v>53</v>
      </c>
      <c r="G57" s="32">
        <f t="shared" si="84"/>
        <v>53</v>
      </c>
      <c r="H57" s="32">
        <f t="shared" si="84"/>
        <v>40</v>
      </c>
      <c r="I57" s="32">
        <f t="shared" si="84"/>
        <v>53</v>
      </c>
      <c r="J57" s="32">
        <f t="shared" si="84"/>
        <v>53</v>
      </c>
      <c r="K57" s="32">
        <f t="shared" si="84"/>
        <v>53</v>
      </c>
      <c r="L57" s="32">
        <f t="shared" si="84"/>
        <v>53</v>
      </c>
      <c r="M57" s="32">
        <f t="shared" si="84"/>
        <v>53</v>
      </c>
      <c r="N57" s="32">
        <f t="shared" si="84"/>
        <v>53</v>
      </c>
      <c r="O57" s="32">
        <f t="shared" si="84"/>
        <v>53</v>
      </c>
      <c r="P57" s="32">
        <f t="shared" si="84"/>
        <v>53</v>
      </c>
      <c r="Q57" s="32">
        <f t="shared" si="84"/>
        <v>53</v>
      </c>
      <c r="R57" s="32">
        <f t="shared" si="84"/>
        <v>40</v>
      </c>
      <c r="S57" s="32">
        <f t="shared" si="84"/>
        <v>53</v>
      </c>
      <c r="T57" s="32">
        <f t="shared" si="84"/>
        <v>40</v>
      </c>
      <c r="U57" s="32">
        <f t="shared" si="84"/>
        <v>53</v>
      </c>
      <c r="V57" s="32">
        <f t="shared" si="84"/>
        <v>53</v>
      </c>
      <c r="W57" s="32">
        <f t="shared" si="84"/>
        <v>53</v>
      </c>
      <c r="X57" s="32">
        <f t="shared" si="84"/>
        <v>53</v>
      </c>
      <c r="Y57" s="32">
        <f t="shared" si="84"/>
        <v>53</v>
      </c>
      <c r="Z57" s="32">
        <f t="shared" si="84"/>
        <v>53</v>
      </c>
      <c r="AA57" s="32">
        <f t="shared" si="84"/>
        <v>53</v>
      </c>
      <c r="AB57" s="32">
        <f t="shared" si="84"/>
        <v>53</v>
      </c>
      <c r="AC57" s="32">
        <f t="shared" si="84"/>
        <v>40</v>
      </c>
      <c r="AD57" s="32">
        <f t="shared" si="84"/>
        <v>65</v>
      </c>
      <c r="AE57" s="32">
        <f t="shared" si="84"/>
        <v>40</v>
      </c>
      <c r="AF57" s="32">
        <f t="shared" si="84"/>
        <v>53</v>
      </c>
      <c r="AG57" s="32">
        <f t="shared" si="84"/>
        <v>53</v>
      </c>
      <c r="AH57" s="32">
        <f t="shared" si="84"/>
        <v>40</v>
      </c>
      <c r="AI57" s="32">
        <f t="shared" si="84"/>
        <v>40</v>
      </c>
      <c r="AJ57" s="32">
        <f t="shared" si="84"/>
        <v>53</v>
      </c>
      <c r="AK57" s="32">
        <f t="shared" si="84"/>
        <v>53</v>
      </c>
      <c r="AL57" s="32">
        <f t="shared" si="84"/>
        <v>53</v>
      </c>
      <c r="AM57" s="32">
        <f t="shared" si="84"/>
        <v>40</v>
      </c>
      <c r="AN57" s="32">
        <f t="shared" si="84"/>
        <v>53</v>
      </c>
      <c r="AO57" s="32">
        <f t="shared" si="84"/>
        <v>53</v>
      </c>
      <c r="AP57" s="32">
        <f t="shared" si="84"/>
        <v>53</v>
      </c>
      <c r="AQ57" s="32">
        <f t="shared" si="84"/>
        <v>53</v>
      </c>
      <c r="AR57" s="32">
        <f t="shared" si="84"/>
        <v>53</v>
      </c>
      <c r="AS57" s="32">
        <f t="shared" si="84"/>
        <v>53</v>
      </c>
      <c r="AT57" s="32">
        <f t="shared" si="84"/>
        <v>53</v>
      </c>
      <c r="AU57" s="32">
        <f t="shared" si="84"/>
        <v>65</v>
      </c>
      <c r="AV57" s="32">
        <f t="shared" si="84"/>
        <v>53</v>
      </c>
      <c r="AW57" s="32">
        <f t="shared" si="84"/>
        <v>65</v>
      </c>
      <c r="AX57" s="32">
        <f t="shared" si="84"/>
        <v>53</v>
      </c>
      <c r="AY57" s="32">
        <f t="shared" si="84"/>
        <v>53</v>
      </c>
      <c r="AZ57" s="32">
        <f t="shared" si="84"/>
        <v>40</v>
      </c>
      <c r="BA57" s="32">
        <f t="shared" si="84"/>
        <v>53</v>
      </c>
      <c r="BB57" s="32">
        <f t="shared" si="84"/>
        <v>53</v>
      </c>
      <c r="BC57" s="32">
        <f t="shared" si="84"/>
        <v>53</v>
      </c>
      <c r="BD57" s="32">
        <f t="shared" si="84"/>
        <v>53</v>
      </c>
      <c r="BE57" s="32">
        <f t="shared" si="84"/>
        <v>53</v>
      </c>
      <c r="BF57" s="32">
        <f t="shared" si="84"/>
        <v>40</v>
      </c>
      <c r="BG57" s="32">
        <f t="shared" si="84"/>
        <v>65</v>
      </c>
      <c r="BH57" s="32">
        <f t="shared" si="84"/>
        <v>53</v>
      </c>
      <c r="BI57" s="32">
        <f t="shared" si="84"/>
        <v>40</v>
      </c>
      <c r="BJ57" s="33" t="s">
        <v>104</v>
      </c>
    </row>
    <row r="58" spans="1:62" s="23" customFormat="1" ht="27.6" x14ac:dyDescent="0.3">
      <c r="A58" s="23" t="s">
        <v>40</v>
      </c>
      <c r="B58" s="20" t="str">
        <f>IF(
  AND(B35&gt;=0.05, B38&gt;=0, B24&lt;60, B50&gt;=70),
  "No major risk flags",
  TRIM(
    SUBSTITUTE(
      SUBSTITUTE(
        SUBSTITUTE(
          SUBSTITUTE(
            IF(B35&lt;0.05,"Low margin (&lt;5%) | ","") &amp;
            IF(B38&lt;0,"Negative revenue CAGR | ","") &amp;
            IF(B24&gt;=60,"High customer concentration (&gt;=60%) | ","") &amp;
            IF(B50&lt;70,"Incomplete data (&lt;70%) | ",""),
          " | ","|"),
        "| |","| "),
      "||","|"),
    "|"," | ")
  )
)</f>
        <v>Negative revenue CAGR |</v>
      </c>
      <c r="C58" s="20" t="str">
        <f t="shared" ref="C58:BI58" si="85">IF(
  AND(C35&gt;=0.05, C38&gt;=0, C24&lt;60, C50&gt;=70),
  "No major risk flags",
  TRIM(
    SUBSTITUTE(
      SUBSTITUTE(
        SUBSTITUTE(
          SUBSTITUTE(
            IF(C35&lt;0.05,"Low margin (&lt;5%) | ","") &amp;
            IF(C38&lt;0,"Negative revenue CAGR | ","") &amp;
            IF(C24&gt;=60,"High customer concentration (&gt;=60%) | ","") &amp;
            IF(C50&lt;70,"Incomplete data (&lt;70%) | ",""),
          " | ","|"),
        "| |","| "),
      "||","|"),
    "|"," | ")
  )
)</f>
        <v>Negative revenue CAGR |</v>
      </c>
      <c r="D58" s="20" t="str">
        <f t="shared" si="85"/>
        <v>Low margin (&lt;5%) | Negative revenue CAGR |</v>
      </c>
      <c r="E58" s="20" t="str">
        <f t="shared" si="85"/>
        <v>Negative revenue CAGR |</v>
      </c>
      <c r="F58" s="20" t="str">
        <f t="shared" si="85"/>
        <v>Negative revenue CAGR |</v>
      </c>
      <c r="G58" s="20" t="str">
        <f t="shared" si="85"/>
        <v>Negative revenue CAGR |</v>
      </c>
      <c r="H58" s="20" t="str">
        <f t="shared" si="85"/>
        <v>Negative revenue CAGR |</v>
      </c>
      <c r="I58" s="20" t="str">
        <f t="shared" si="85"/>
        <v>No major risk flags</v>
      </c>
      <c r="J58" s="20" t="str">
        <f t="shared" si="85"/>
        <v>Negative revenue CAGR |</v>
      </c>
      <c r="K58" s="20" t="str">
        <f t="shared" si="85"/>
        <v>Negative revenue CAGR |</v>
      </c>
      <c r="L58" s="20" t="str">
        <f t="shared" si="85"/>
        <v>Negative revenue CAGR |</v>
      </c>
      <c r="M58" s="20" t="str">
        <f t="shared" si="85"/>
        <v>Low margin (&lt;5%) | Negative revenue CAGR |</v>
      </c>
      <c r="N58" s="20" t="str">
        <f t="shared" si="85"/>
        <v>Negative revenue CAGR |</v>
      </c>
      <c r="O58" s="20" t="str">
        <f t="shared" si="85"/>
        <v>Negative revenue CAGR |</v>
      </c>
      <c r="P58" s="20" t="str">
        <f t="shared" si="85"/>
        <v>Negative revenue CAGR |</v>
      </c>
      <c r="Q58" s="20" t="str">
        <f t="shared" si="85"/>
        <v>Negative revenue CAGR |</v>
      </c>
      <c r="R58" s="20" t="str">
        <f t="shared" si="85"/>
        <v>Negative revenue CAGR |</v>
      </c>
      <c r="S58" s="20" t="str">
        <f t="shared" si="85"/>
        <v>Negative revenue CAGR |</v>
      </c>
      <c r="T58" s="20" t="str">
        <f t="shared" si="85"/>
        <v>Negative revenue CAGR |</v>
      </c>
      <c r="U58" s="20" t="str">
        <f t="shared" si="85"/>
        <v>Negative revenue CAGR |</v>
      </c>
      <c r="V58" s="20" t="str">
        <f t="shared" si="85"/>
        <v>Low margin (&lt;5%) | Negative revenue CAGR |</v>
      </c>
      <c r="W58" s="20" t="str">
        <f t="shared" si="85"/>
        <v>No major risk flags</v>
      </c>
      <c r="X58" s="20" t="str">
        <f t="shared" si="85"/>
        <v>Negative revenue CAGR |</v>
      </c>
      <c r="Y58" s="20" t="str">
        <f t="shared" si="85"/>
        <v>Negative revenue CAGR |</v>
      </c>
      <c r="Z58" s="20" t="str">
        <f t="shared" si="85"/>
        <v>Negative revenue CAGR |</v>
      </c>
      <c r="AA58" s="20" t="str">
        <f t="shared" si="85"/>
        <v>Negative revenue CAGR |</v>
      </c>
      <c r="AB58" s="20" t="str">
        <f t="shared" si="85"/>
        <v>Negative revenue CAGR |</v>
      </c>
      <c r="AC58" s="20" t="str">
        <f t="shared" si="85"/>
        <v>Negative revenue CAGR |</v>
      </c>
      <c r="AD58" s="20" t="str">
        <f t="shared" si="85"/>
        <v>Low margin (&lt;5%) | Negative revenue CAGR |</v>
      </c>
      <c r="AE58" s="20" t="str">
        <f t="shared" si="85"/>
        <v>Negative revenue CAGR |</v>
      </c>
      <c r="AF58" s="20" t="str">
        <f t="shared" si="85"/>
        <v>Negative revenue CAGR |</v>
      </c>
      <c r="AG58" s="20" t="str">
        <f t="shared" si="85"/>
        <v>Negative revenue CAGR |</v>
      </c>
      <c r="AH58" s="20" t="str">
        <f t="shared" si="85"/>
        <v>Negative revenue CAGR |</v>
      </c>
      <c r="AI58" s="20" t="str">
        <f t="shared" si="85"/>
        <v>Negative revenue CAGR |</v>
      </c>
      <c r="AJ58" s="20" t="str">
        <f t="shared" si="85"/>
        <v>Negative revenue CAGR |</v>
      </c>
      <c r="AK58" s="20" t="str">
        <f t="shared" si="85"/>
        <v>Negative revenue CAGR |</v>
      </c>
      <c r="AL58" s="20" t="str">
        <f t="shared" si="85"/>
        <v>Negative revenue CAGR |</v>
      </c>
      <c r="AM58" s="20" t="str">
        <f t="shared" si="85"/>
        <v>Negative revenue CAGR |</v>
      </c>
      <c r="AN58" s="20" t="str">
        <f t="shared" si="85"/>
        <v>Negative revenue CAGR |</v>
      </c>
      <c r="AO58" s="20" t="str">
        <f t="shared" si="85"/>
        <v>No major risk flags</v>
      </c>
      <c r="AP58" s="20" t="str">
        <f t="shared" si="85"/>
        <v>Negative revenue CAGR |</v>
      </c>
      <c r="AQ58" s="20" t="str">
        <f t="shared" si="85"/>
        <v>Negative revenue CAGR |</v>
      </c>
      <c r="AR58" s="20" t="str">
        <f t="shared" si="85"/>
        <v>Low margin (&lt;5%) | Negative revenue CAGR |</v>
      </c>
      <c r="AS58" s="20" t="str">
        <f t="shared" si="85"/>
        <v>Negative revenue CAGR |</v>
      </c>
      <c r="AT58" s="20" t="str">
        <f t="shared" si="85"/>
        <v>Negative revenue CAGR |</v>
      </c>
      <c r="AU58" s="20" t="str">
        <f t="shared" si="85"/>
        <v>Negative revenue CAGR |</v>
      </c>
      <c r="AV58" s="20" t="str">
        <f t="shared" si="85"/>
        <v>Negative revenue CAGR |</v>
      </c>
      <c r="AW58" s="20" t="str">
        <f t="shared" si="85"/>
        <v>Negative revenue CAGR |</v>
      </c>
      <c r="AX58" s="20" t="str">
        <f t="shared" si="85"/>
        <v>Negative revenue CAGR |</v>
      </c>
      <c r="AY58" s="20" t="str">
        <f t="shared" si="85"/>
        <v>No major risk flags</v>
      </c>
      <c r="AZ58" s="20" t="str">
        <f t="shared" si="85"/>
        <v>Negative revenue CAGR |</v>
      </c>
      <c r="BA58" s="20" t="str">
        <f t="shared" si="85"/>
        <v>Negative revenue CAGR |</v>
      </c>
      <c r="BB58" s="20" t="str">
        <f t="shared" si="85"/>
        <v>Negative revenue CAGR |</v>
      </c>
      <c r="BC58" s="20" t="str">
        <f t="shared" si="85"/>
        <v>Negative revenue CAGR |</v>
      </c>
      <c r="BD58" s="20" t="str">
        <f t="shared" si="85"/>
        <v>Low margin (&lt;5%) | Negative revenue CAGR |</v>
      </c>
      <c r="BE58" s="20" t="str">
        <f t="shared" si="85"/>
        <v>Negative revenue CAGR |</v>
      </c>
      <c r="BF58" s="20" t="str">
        <f t="shared" si="85"/>
        <v>Negative revenue CAGR |</v>
      </c>
      <c r="BG58" s="20" t="str">
        <f t="shared" si="85"/>
        <v>Low margin (&lt;5%) | Negative revenue CAGR |</v>
      </c>
      <c r="BH58" s="20" t="str">
        <f t="shared" si="85"/>
        <v>Negative revenue CAGR |</v>
      </c>
      <c r="BI58" s="20" t="str">
        <f t="shared" si="85"/>
        <v>Negative revenue CAGR |</v>
      </c>
    </row>
    <row r="59" spans="1:62" x14ac:dyDescent="0.3">
      <c r="A59" s="2" t="s">
        <v>41</v>
      </c>
      <c r="B59" s="6">
        <f>ROUND(0.6*B52+0.4*B57,0)</f>
        <v>61</v>
      </c>
      <c r="C59" s="6">
        <f t="shared" ref="C59:BI59" si="86">ROUND(0.6*C52+0.4*C57,0)</f>
        <v>63</v>
      </c>
      <c r="D59" s="6">
        <f t="shared" si="86"/>
        <v>48</v>
      </c>
      <c r="E59" s="6">
        <f t="shared" si="86"/>
        <v>61</v>
      </c>
      <c r="F59" s="6">
        <f t="shared" si="86"/>
        <v>63</v>
      </c>
      <c r="G59" s="6">
        <f t="shared" si="86"/>
        <v>51</v>
      </c>
      <c r="H59" s="6">
        <f t="shared" si="86"/>
        <v>59</v>
      </c>
      <c r="I59" s="6">
        <f t="shared" si="86"/>
        <v>57</v>
      </c>
      <c r="J59" s="6">
        <f t="shared" si="86"/>
        <v>58</v>
      </c>
      <c r="K59" s="6">
        <f t="shared" si="86"/>
        <v>55</v>
      </c>
      <c r="L59" s="6">
        <f t="shared" si="86"/>
        <v>58</v>
      </c>
      <c r="M59" s="6">
        <f t="shared" si="86"/>
        <v>51</v>
      </c>
      <c r="N59" s="6">
        <f t="shared" si="86"/>
        <v>59</v>
      </c>
      <c r="O59" s="6">
        <f t="shared" si="86"/>
        <v>69</v>
      </c>
      <c r="P59" s="6">
        <f t="shared" si="86"/>
        <v>64</v>
      </c>
      <c r="Q59" s="6">
        <f t="shared" si="86"/>
        <v>56</v>
      </c>
      <c r="R59" s="6">
        <f t="shared" si="86"/>
        <v>58</v>
      </c>
      <c r="S59" s="6">
        <f t="shared" si="86"/>
        <v>56</v>
      </c>
      <c r="T59" s="6">
        <f t="shared" si="86"/>
        <v>61</v>
      </c>
      <c r="U59" s="6">
        <f t="shared" si="86"/>
        <v>48</v>
      </c>
      <c r="V59" s="6">
        <f t="shared" si="86"/>
        <v>49</v>
      </c>
      <c r="W59" s="6">
        <f t="shared" si="86"/>
        <v>57</v>
      </c>
      <c r="X59" s="6">
        <f t="shared" si="86"/>
        <v>59</v>
      </c>
      <c r="Y59" s="6">
        <f t="shared" si="86"/>
        <v>52</v>
      </c>
      <c r="Z59" s="6">
        <f t="shared" si="86"/>
        <v>54</v>
      </c>
      <c r="AA59" s="6">
        <f t="shared" si="86"/>
        <v>64</v>
      </c>
      <c r="AB59" s="6">
        <f t="shared" si="86"/>
        <v>67</v>
      </c>
      <c r="AC59" s="6">
        <f t="shared" si="86"/>
        <v>60</v>
      </c>
      <c r="AD59" s="6">
        <f t="shared" si="86"/>
        <v>41</v>
      </c>
      <c r="AE59" s="6">
        <f t="shared" si="86"/>
        <v>60</v>
      </c>
      <c r="AF59" s="6">
        <f t="shared" si="86"/>
        <v>57</v>
      </c>
      <c r="AG59" s="6">
        <f t="shared" si="86"/>
        <v>68</v>
      </c>
      <c r="AH59" s="6">
        <f t="shared" si="86"/>
        <v>57</v>
      </c>
      <c r="AI59" s="6">
        <f t="shared" si="86"/>
        <v>62</v>
      </c>
      <c r="AJ59" s="6">
        <f t="shared" si="86"/>
        <v>58</v>
      </c>
      <c r="AK59" s="6">
        <f t="shared" si="86"/>
        <v>60</v>
      </c>
      <c r="AL59" s="6">
        <f t="shared" si="86"/>
        <v>56</v>
      </c>
      <c r="AM59" s="6">
        <f t="shared" si="86"/>
        <v>62</v>
      </c>
      <c r="AN59" s="6">
        <f t="shared" si="86"/>
        <v>57</v>
      </c>
      <c r="AO59" s="6">
        <f t="shared" si="86"/>
        <v>52</v>
      </c>
      <c r="AP59" s="6">
        <f t="shared" si="86"/>
        <v>52</v>
      </c>
      <c r="AQ59" s="6">
        <f t="shared" si="86"/>
        <v>50</v>
      </c>
      <c r="AR59" s="6">
        <f t="shared" si="86"/>
        <v>50</v>
      </c>
      <c r="AS59" s="6">
        <f t="shared" si="86"/>
        <v>63</v>
      </c>
      <c r="AT59" s="6">
        <f t="shared" si="86"/>
        <v>54</v>
      </c>
      <c r="AU59" s="6">
        <f t="shared" si="86"/>
        <v>71</v>
      </c>
      <c r="AV59" s="6">
        <f t="shared" si="86"/>
        <v>67</v>
      </c>
      <c r="AW59" s="6">
        <f t="shared" si="86"/>
        <v>69</v>
      </c>
      <c r="AX59" s="6">
        <f t="shared" si="86"/>
        <v>55</v>
      </c>
      <c r="AY59" s="6">
        <f t="shared" si="86"/>
        <v>64</v>
      </c>
      <c r="AZ59" s="6">
        <f t="shared" si="86"/>
        <v>64</v>
      </c>
      <c r="BA59" s="6">
        <f t="shared" si="86"/>
        <v>60</v>
      </c>
      <c r="BB59" s="6">
        <f t="shared" si="86"/>
        <v>55</v>
      </c>
      <c r="BC59" s="6">
        <f t="shared" si="86"/>
        <v>56</v>
      </c>
      <c r="BD59" s="6">
        <f t="shared" si="86"/>
        <v>49</v>
      </c>
      <c r="BE59" s="6">
        <f t="shared" si="86"/>
        <v>53</v>
      </c>
      <c r="BF59" s="6">
        <f t="shared" si="86"/>
        <v>60</v>
      </c>
      <c r="BG59" s="6">
        <f t="shared" si="86"/>
        <v>48</v>
      </c>
      <c r="BH59" s="6">
        <f t="shared" si="86"/>
        <v>51</v>
      </c>
      <c r="BI59" s="6">
        <f t="shared" si="86"/>
        <v>57</v>
      </c>
      <c r="BJ59" s="33" t="s">
        <v>104</v>
      </c>
    </row>
  </sheetData>
  <conditionalFormatting sqref="B52:BI52">
    <cfRule type="cellIs" dxfId="11" priority="9" operator="greaterThan">
      <formula>84</formula>
    </cfRule>
    <cfRule type="cellIs" dxfId="10" priority="10" operator="between">
      <formula>70</formula>
      <formula>84</formula>
    </cfRule>
    <cfRule type="cellIs" dxfId="9" priority="11" operator="between">
      <formula>50</formula>
      <formula>69</formula>
    </cfRule>
    <cfRule type="cellIs" dxfId="8" priority="12" operator="lessThan">
      <formula>50</formula>
    </cfRule>
  </conditionalFormatting>
  <conditionalFormatting sqref="B57:BI57">
    <cfRule type="cellIs" dxfId="7" priority="5" operator="greaterThan">
      <formula>84</formula>
    </cfRule>
    <cfRule type="cellIs" dxfId="6" priority="6" operator="between">
      <formula>70</formula>
      <formula>84</formula>
    </cfRule>
    <cfRule type="cellIs" dxfId="5" priority="7" operator="between">
      <formula>50</formula>
      <formula>69</formula>
    </cfRule>
    <cfRule type="cellIs" dxfId="4" priority="8" operator="lessThan">
      <formula>50</formula>
    </cfRule>
  </conditionalFormatting>
  <conditionalFormatting sqref="B59:BI59">
    <cfRule type="cellIs" dxfId="3" priority="1" operator="greaterThan">
      <formula>84</formula>
    </cfRule>
    <cfRule type="cellIs" dxfId="2" priority="2" operator="between">
      <formula>70</formula>
      <formula>84</formula>
    </cfRule>
    <cfRule type="cellIs" dxfId="1" priority="3" operator="between">
      <formula>50</formula>
      <formula>69</formula>
    </cfRule>
    <cfRule type="cellIs" dxfId="0" priority="4" operator="lessThan">
      <formula>50</formula>
    </cfRule>
  </conditionalFormatting>
  <dataValidations count="4">
    <dataValidation type="whole" operator="greaterThan" allowBlank="1" showInputMessage="1" showErrorMessage="1" sqref="B11:BI11">
      <formula1>0</formula1>
    </dataValidation>
    <dataValidation type="list" allowBlank="1" showInputMessage="1" showErrorMessage="1" sqref="B25:BI27">
      <formula1>"YES,NO"</formula1>
    </dataValidation>
    <dataValidation type="list" allowBlank="1" showInputMessage="1" showErrorMessage="1" sqref="B29:BI29">
      <formula1>"High,Medium,Low"</formula1>
    </dataValidation>
    <dataValidation type="list" allowBlank="1" showInputMessage="1" showErrorMessage="1" sqref="B28:BI28">
      <formula1>"FULL,PARTIAL,NONE"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'Reference Data sheet'!$B$182:$B$191</xm:f>
          </x14:formula1>
          <xm:sqref>B9:BI9</xm:sqref>
        </x14:dataValidation>
        <x14:dataValidation type="list" allowBlank="1" showInputMessage="1" showErrorMessage="1">
          <x14:formula1>
            <xm:f>'Reference Data sheet'!$B$217:$B$221</xm:f>
          </x14:formula1>
          <xm:sqref>B10:BI10</xm:sqref>
        </x14:dataValidation>
        <x14:dataValidation type="list" allowBlank="1" showInputMessage="1" showErrorMessage="1">
          <x14:formula1>
            <xm:f>'Reference Data sheet'!$H$4:$H$176</xm:f>
          </x14:formula1>
          <xm:sqref>B8:BI8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49"/>
  <sheetViews>
    <sheetView showGridLines="0" workbookViewId="0"/>
  </sheetViews>
  <sheetFormatPr defaultColWidth="9.109375" defaultRowHeight="13.8" x14ac:dyDescent="0.3"/>
  <cols>
    <col min="1" max="1" width="9.109375" style="39"/>
    <col min="2" max="2" width="11.33203125" style="39" customWidth="1"/>
    <col min="3" max="3" width="54.77734375" style="39" bestFit="1" customWidth="1"/>
    <col min="4" max="4" width="38.5546875" style="39" bestFit="1" customWidth="1"/>
    <col min="5" max="5" width="20.44140625" style="39" bestFit="1" customWidth="1"/>
    <col min="6" max="6" width="35" style="39" bestFit="1" customWidth="1"/>
    <col min="7" max="7" width="42.21875" style="39" bestFit="1" customWidth="1"/>
    <col min="8" max="8" width="34.44140625" style="39" bestFit="1" customWidth="1"/>
    <col min="9" max="9" width="17.77734375" style="39" bestFit="1" customWidth="1"/>
    <col min="10" max="10" width="20.6640625" style="39" bestFit="1" customWidth="1"/>
    <col min="11" max="11" width="14.5546875" style="39" bestFit="1" customWidth="1"/>
    <col min="12" max="12" width="8.6640625" style="39" customWidth="1"/>
    <col min="13" max="13" width="5.6640625" style="39" customWidth="1"/>
    <col min="14" max="16384" width="9.109375" style="39"/>
  </cols>
  <sheetData>
    <row r="1" spans="2:13" x14ac:dyDescent="0.3">
      <c r="B1" s="36"/>
      <c r="C1" s="37"/>
      <c r="D1" s="37"/>
      <c r="E1" s="38"/>
      <c r="F1" s="38"/>
      <c r="G1" s="38"/>
      <c r="H1" s="38"/>
    </row>
    <row r="2" spans="2:13" x14ac:dyDescent="0.3">
      <c r="B2" s="40"/>
      <c r="C2" s="41"/>
      <c r="D2" s="41"/>
      <c r="E2" s="42"/>
      <c r="F2" s="42"/>
      <c r="G2" s="42"/>
      <c r="H2" s="42"/>
    </row>
    <row r="3" spans="2:13" ht="14.4" x14ac:dyDescent="0.3">
      <c r="B3" s="43" t="s">
        <v>165</v>
      </c>
      <c r="C3" s="43" t="s">
        <v>166</v>
      </c>
      <c r="D3" s="43" t="s">
        <v>167</v>
      </c>
      <c r="E3" s="43" t="s">
        <v>168</v>
      </c>
      <c r="F3" s="43" t="s">
        <v>169</v>
      </c>
      <c r="G3" s="43" t="s">
        <v>170</v>
      </c>
      <c r="H3" s="44" t="s">
        <v>171</v>
      </c>
      <c r="I3" s="44" t="s">
        <v>172</v>
      </c>
      <c r="J3" s="44" t="s">
        <v>173</v>
      </c>
      <c r="K3" s="44" t="s">
        <v>174</v>
      </c>
      <c r="L3" s="44" t="s">
        <v>88</v>
      </c>
      <c r="M3" s="44" t="s">
        <v>89</v>
      </c>
    </row>
    <row r="4" spans="2:13" ht="14.4" x14ac:dyDescent="0.3">
      <c r="B4" t="s">
        <v>175</v>
      </c>
      <c r="C4" t="s">
        <v>176</v>
      </c>
      <c r="D4" t="s">
        <v>177</v>
      </c>
      <c r="E4" t="s">
        <v>178</v>
      </c>
      <c r="F4" t="s">
        <v>179</v>
      </c>
      <c r="G4" t="s">
        <v>180</v>
      </c>
      <c r="H4" s="45" t="s">
        <v>179</v>
      </c>
      <c r="I4" s="45">
        <v>17.5</v>
      </c>
      <c r="J4" s="45">
        <v>32.5</v>
      </c>
      <c r="K4" s="45">
        <v>17.5</v>
      </c>
      <c r="L4" s="45">
        <v>10</v>
      </c>
      <c r="M4" s="45">
        <v>85</v>
      </c>
    </row>
    <row r="5" spans="2:13" ht="14.4" x14ac:dyDescent="0.3">
      <c r="B5" t="s">
        <v>175</v>
      </c>
      <c r="C5" t="s">
        <v>176</v>
      </c>
      <c r="D5" t="s">
        <v>177</v>
      </c>
      <c r="E5" t="s">
        <v>181</v>
      </c>
      <c r="F5" t="s">
        <v>182</v>
      </c>
      <c r="G5" t="s">
        <v>183</v>
      </c>
      <c r="H5" s="45" t="s">
        <v>182</v>
      </c>
      <c r="I5" s="45">
        <v>15</v>
      </c>
      <c r="J5" s="45">
        <v>28.5</v>
      </c>
      <c r="K5" s="45">
        <v>21.5</v>
      </c>
      <c r="L5" s="45">
        <v>12</v>
      </c>
      <c r="M5" s="45">
        <v>82</v>
      </c>
    </row>
    <row r="6" spans="2:13" ht="14.4" x14ac:dyDescent="0.3">
      <c r="B6" t="s">
        <v>175</v>
      </c>
      <c r="C6" t="s">
        <v>176</v>
      </c>
      <c r="D6" t="s">
        <v>177</v>
      </c>
      <c r="E6" t="s">
        <v>184</v>
      </c>
      <c r="F6" t="s">
        <v>185</v>
      </c>
      <c r="G6" t="s">
        <v>186</v>
      </c>
      <c r="H6" s="45" t="s">
        <v>187</v>
      </c>
      <c r="I6" s="45">
        <v>10</v>
      </c>
      <c r="J6" s="45">
        <v>15</v>
      </c>
      <c r="K6" s="45">
        <v>10</v>
      </c>
      <c r="L6" s="45">
        <v>6</v>
      </c>
      <c r="M6" s="45">
        <v>68</v>
      </c>
    </row>
    <row r="7" spans="2:13" ht="14.4" x14ac:dyDescent="0.3">
      <c r="B7" t="s">
        <v>175</v>
      </c>
      <c r="C7" t="s">
        <v>176</v>
      </c>
      <c r="D7" t="s">
        <v>177</v>
      </c>
      <c r="E7" t="s">
        <v>188</v>
      </c>
      <c r="F7" t="s">
        <v>189</v>
      </c>
      <c r="G7" t="s">
        <v>189</v>
      </c>
      <c r="H7" s="45" t="s">
        <v>189</v>
      </c>
      <c r="I7" s="45">
        <v>18.5</v>
      </c>
      <c r="J7" s="45">
        <v>21.5</v>
      </c>
      <c r="K7" s="45">
        <v>13.5</v>
      </c>
      <c r="L7" s="45">
        <v>10</v>
      </c>
      <c r="M7" s="45">
        <v>80</v>
      </c>
    </row>
    <row r="8" spans="2:13" ht="14.4" x14ac:dyDescent="0.3">
      <c r="B8" t="s">
        <v>175</v>
      </c>
      <c r="C8" t="s">
        <v>176</v>
      </c>
      <c r="D8" t="s">
        <v>177</v>
      </c>
      <c r="E8" t="s">
        <v>190</v>
      </c>
      <c r="F8" t="s">
        <v>191</v>
      </c>
      <c r="G8" t="s">
        <v>191</v>
      </c>
      <c r="H8" s="45" t="s">
        <v>191</v>
      </c>
      <c r="I8" s="45">
        <v>15</v>
      </c>
      <c r="J8" s="45">
        <v>24</v>
      </c>
      <c r="K8" s="45">
        <v>18</v>
      </c>
      <c r="L8" s="45">
        <v>12</v>
      </c>
      <c r="M8" s="45">
        <v>82</v>
      </c>
    </row>
    <row r="9" spans="2:13" ht="14.4" x14ac:dyDescent="0.3">
      <c r="B9" t="s">
        <v>175</v>
      </c>
      <c r="C9" t="s">
        <v>176</v>
      </c>
      <c r="D9" t="s">
        <v>177</v>
      </c>
      <c r="E9" t="s">
        <v>192</v>
      </c>
      <c r="F9" t="s">
        <v>193</v>
      </c>
      <c r="G9" t="s">
        <v>194</v>
      </c>
      <c r="H9" s="45" t="s">
        <v>193</v>
      </c>
      <c r="I9" s="45">
        <v>10.5</v>
      </c>
      <c r="J9" s="45">
        <v>16</v>
      </c>
      <c r="K9" s="45">
        <v>9</v>
      </c>
      <c r="L9" s="45">
        <v>6</v>
      </c>
      <c r="M9" s="45">
        <v>70</v>
      </c>
    </row>
    <row r="10" spans="2:13" ht="14.4" x14ac:dyDescent="0.3">
      <c r="B10" t="s">
        <v>175</v>
      </c>
      <c r="C10" t="s">
        <v>176</v>
      </c>
      <c r="D10" t="s">
        <v>177</v>
      </c>
      <c r="E10" t="s">
        <v>195</v>
      </c>
      <c r="F10" t="s">
        <v>196</v>
      </c>
      <c r="G10" t="s">
        <v>197</v>
      </c>
      <c r="H10" s="45" t="s">
        <v>196</v>
      </c>
      <c r="I10" s="45">
        <v>12.5</v>
      </c>
      <c r="J10" s="45">
        <v>24</v>
      </c>
      <c r="K10" s="45">
        <v>12</v>
      </c>
      <c r="L10" s="45">
        <v>8</v>
      </c>
      <c r="M10" s="45">
        <v>76</v>
      </c>
    </row>
    <row r="11" spans="2:13" ht="14.4" x14ac:dyDescent="0.3">
      <c r="B11" t="s">
        <v>175</v>
      </c>
      <c r="C11" t="s">
        <v>176</v>
      </c>
      <c r="D11" t="s">
        <v>177</v>
      </c>
      <c r="E11" t="s">
        <v>198</v>
      </c>
      <c r="F11" t="s">
        <v>199</v>
      </c>
      <c r="G11" t="s">
        <v>200</v>
      </c>
      <c r="H11" s="45" t="s">
        <v>199</v>
      </c>
      <c r="I11" s="45">
        <v>14</v>
      </c>
      <c r="J11" s="45">
        <v>22</v>
      </c>
      <c r="K11" s="45">
        <v>16</v>
      </c>
      <c r="L11" s="45">
        <v>12</v>
      </c>
      <c r="M11" s="45">
        <v>80</v>
      </c>
    </row>
    <row r="12" spans="2:13" ht="14.4" x14ac:dyDescent="0.3">
      <c r="B12" t="s">
        <v>175</v>
      </c>
      <c r="C12" t="s">
        <v>176</v>
      </c>
      <c r="D12" t="s">
        <v>177</v>
      </c>
      <c r="E12" t="s">
        <v>201</v>
      </c>
      <c r="F12" t="s">
        <v>202</v>
      </c>
      <c r="G12" t="s">
        <v>203</v>
      </c>
      <c r="H12" s="45" t="s">
        <v>202</v>
      </c>
      <c r="I12" s="45">
        <v>13</v>
      </c>
      <c r="J12" s="45">
        <v>20</v>
      </c>
      <c r="K12" s="45">
        <v>11</v>
      </c>
      <c r="L12" s="45">
        <v>8</v>
      </c>
      <c r="M12" s="45">
        <v>74</v>
      </c>
    </row>
    <row r="13" spans="2:13" ht="14.4" x14ac:dyDescent="0.3">
      <c r="B13" t="s">
        <v>175</v>
      </c>
      <c r="C13" t="s">
        <v>176</v>
      </c>
      <c r="D13" t="s">
        <v>177</v>
      </c>
      <c r="E13" t="s">
        <v>204</v>
      </c>
      <c r="F13" t="s">
        <v>205</v>
      </c>
      <c r="G13" t="s">
        <v>206</v>
      </c>
      <c r="H13" s="45" t="s">
        <v>205</v>
      </c>
      <c r="I13" s="45">
        <v>21.5</v>
      </c>
      <c r="J13" s="45">
        <v>30</v>
      </c>
      <c r="K13" s="45">
        <v>40</v>
      </c>
      <c r="L13" s="45">
        <v>25</v>
      </c>
      <c r="M13" s="45">
        <v>92</v>
      </c>
    </row>
    <row r="14" spans="2:13" ht="14.4" x14ac:dyDescent="0.3">
      <c r="B14" t="s">
        <v>175</v>
      </c>
      <c r="C14" t="s">
        <v>176</v>
      </c>
      <c r="D14" t="s">
        <v>177</v>
      </c>
      <c r="E14" t="s">
        <v>207</v>
      </c>
      <c r="F14" t="s">
        <v>208</v>
      </c>
      <c r="G14" t="s">
        <v>209</v>
      </c>
      <c r="H14" s="45" t="s">
        <v>210</v>
      </c>
      <c r="I14" s="45">
        <v>16</v>
      </c>
      <c r="J14" s="45">
        <v>26</v>
      </c>
      <c r="K14" s="45">
        <v>16</v>
      </c>
      <c r="L14" s="45">
        <v>12</v>
      </c>
      <c r="M14" s="45">
        <v>82</v>
      </c>
    </row>
    <row r="15" spans="2:13" ht="14.4" x14ac:dyDescent="0.3">
      <c r="B15" t="s">
        <v>175</v>
      </c>
      <c r="C15" t="s">
        <v>176</v>
      </c>
      <c r="D15" t="s">
        <v>177</v>
      </c>
      <c r="E15" t="s">
        <v>211</v>
      </c>
      <c r="F15" t="s">
        <v>212</v>
      </c>
      <c r="G15" t="s">
        <v>213</v>
      </c>
      <c r="H15" s="45" t="s">
        <v>212</v>
      </c>
      <c r="I15" s="45">
        <v>17.5</v>
      </c>
      <c r="J15" s="45">
        <v>31.5</v>
      </c>
      <c r="K15" s="45">
        <v>17.5</v>
      </c>
      <c r="L15" s="45">
        <v>12</v>
      </c>
      <c r="M15" s="45">
        <v>84</v>
      </c>
    </row>
    <row r="16" spans="2:13" ht="14.4" x14ac:dyDescent="0.3">
      <c r="B16" t="s">
        <v>214</v>
      </c>
      <c r="C16" t="s">
        <v>215</v>
      </c>
      <c r="D16" t="s">
        <v>216</v>
      </c>
      <c r="E16" t="s">
        <v>217</v>
      </c>
      <c r="F16" t="s">
        <v>218</v>
      </c>
      <c r="G16" t="s">
        <v>219</v>
      </c>
      <c r="H16" s="45" t="s">
        <v>220</v>
      </c>
      <c r="I16" s="45">
        <v>10</v>
      </c>
      <c r="J16" s="45">
        <v>16</v>
      </c>
      <c r="K16" s="45">
        <v>5</v>
      </c>
      <c r="L16" s="45">
        <v>3</v>
      </c>
      <c r="M16" s="45">
        <v>65</v>
      </c>
    </row>
    <row r="17" spans="2:13" ht="14.4" x14ac:dyDescent="0.3">
      <c r="B17" t="s">
        <v>214</v>
      </c>
      <c r="C17" t="s">
        <v>215</v>
      </c>
      <c r="D17" t="s">
        <v>216</v>
      </c>
      <c r="E17" t="s">
        <v>221</v>
      </c>
      <c r="F17" t="s">
        <v>222</v>
      </c>
      <c r="G17" t="s">
        <v>223</v>
      </c>
      <c r="H17" s="45" t="s">
        <v>224</v>
      </c>
      <c r="I17" s="45">
        <v>7.5</v>
      </c>
      <c r="J17" s="45">
        <v>6.5</v>
      </c>
      <c r="K17" s="45">
        <v>4</v>
      </c>
      <c r="L17" s="45">
        <v>2</v>
      </c>
      <c r="M17" s="45">
        <v>55</v>
      </c>
    </row>
    <row r="18" spans="2:13" ht="14.4" x14ac:dyDescent="0.3">
      <c r="B18" t="s">
        <v>214</v>
      </c>
      <c r="C18" t="s">
        <v>215</v>
      </c>
      <c r="D18" t="s">
        <v>216</v>
      </c>
      <c r="E18" t="s">
        <v>225</v>
      </c>
      <c r="F18" t="s">
        <v>226</v>
      </c>
      <c r="G18" t="s">
        <v>227</v>
      </c>
      <c r="H18" s="45" t="s">
        <v>226</v>
      </c>
      <c r="I18" s="45">
        <v>12.5</v>
      </c>
      <c r="J18" s="45">
        <v>15</v>
      </c>
      <c r="K18" s="45">
        <v>20</v>
      </c>
      <c r="L18" s="45">
        <v>15</v>
      </c>
      <c r="M18" s="45">
        <v>78</v>
      </c>
    </row>
    <row r="19" spans="2:13" ht="14.4" x14ac:dyDescent="0.3">
      <c r="B19" t="s">
        <v>214</v>
      </c>
      <c r="C19" t="s">
        <v>215</v>
      </c>
      <c r="D19" t="s">
        <v>216</v>
      </c>
      <c r="E19" t="s">
        <v>228</v>
      </c>
      <c r="F19" t="s">
        <v>229</v>
      </c>
      <c r="G19" t="s">
        <v>230</v>
      </c>
      <c r="H19" s="45" t="s">
        <v>229</v>
      </c>
      <c r="I19" s="45">
        <v>7.5</v>
      </c>
      <c r="J19" s="45">
        <v>10</v>
      </c>
      <c r="K19" s="45">
        <v>4</v>
      </c>
      <c r="L19" s="45">
        <v>2</v>
      </c>
      <c r="M19" s="45">
        <v>58</v>
      </c>
    </row>
    <row r="20" spans="2:13" ht="14.4" x14ac:dyDescent="0.3">
      <c r="B20" t="s">
        <v>214</v>
      </c>
      <c r="C20" t="s">
        <v>215</v>
      </c>
      <c r="D20" t="s">
        <v>216</v>
      </c>
      <c r="E20" t="s">
        <v>231</v>
      </c>
      <c r="F20" t="s">
        <v>232</v>
      </c>
      <c r="G20" t="s">
        <v>233</v>
      </c>
      <c r="H20" s="45" t="s">
        <v>234</v>
      </c>
      <c r="I20" s="45">
        <v>8</v>
      </c>
      <c r="J20" s="45">
        <v>10</v>
      </c>
      <c r="K20" s="45">
        <v>5</v>
      </c>
      <c r="L20" s="45">
        <v>3</v>
      </c>
      <c r="M20" s="45">
        <v>60</v>
      </c>
    </row>
    <row r="21" spans="2:13" ht="14.4" x14ac:dyDescent="0.3">
      <c r="B21" t="s">
        <v>214</v>
      </c>
      <c r="C21" t="s">
        <v>215</v>
      </c>
      <c r="D21" t="s">
        <v>216</v>
      </c>
      <c r="E21" t="s">
        <v>235</v>
      </c>
      <c r="F21" t="s">
        <v>236</v>
      </c>
      <c r="G21" t="s">
        <v>237</v>
      </c>
      <c r="H21" s="45" t="s">
        <v>238</v>
      </c>
      <c r="I21" s="45">
        <v>9</v>
      </c>
      <c r="J21" s="45">
        <v>10</v>
      </c>
      <c r="K21" s="45">
        <v>6.5</v>
      </c>
      <c r="L21" s="45">
        <v>4</v>
      </c>
      <c r="M21" s="45">
        <v>64</v>
      </c>
    </row>
    <row r="22" spans="2:13" ht="14.4" x14ac:dyDescent="0.3">
      <c r="B22" t="s">
        <v>214</v>
      </c>
      <c r="C22" t="s">
        <v>215</v>
      </c>
      <c r="D22" t="s">
        <v>216</v>
      </c>
      <c r="E22" t="s">
        <v>239</v>
      </c>
      <c r="F22" t="s">
        <v>240</v>
      </c>
      <c r="G22" t="s">
        <v>241</v>
      </c>
      <c r="H22" s="45" t="s">
        <v>240</v>
      </c>
      <c r="I22" s="45">
        <v>9.5</v>
      </c>
      <c r="J22" s="45">
        <v>12</v>
      </c>
      <c r="K22" s="45">
        <v>6</v>
      </c>
      <c r="L22" s="45">
        <v>4</v>
      </c>
      <c r="M22" s="45">
        <v>66</v>
      </c>
    </row>
    <row r="23" spans="2:13" ht="14.4" x14ac:dyDescent="0.3">
      <c r="B23" t="s">
        <v>214</v>
      </c>
      <c r="C23" t="s">
        <v>215</v>
      </c>
      <c r="D23" t="s">
        <v>216</v>
      </c>
      <c r="E23" t="s">
        <v>242</v>
      </c>
      <c r="F23" t="s">
        <v>243</v>
      </c>
      <c r="G23" t="s">
        <v>244</v>
      </c>
      <c r="H23" s="45" t="s">
        <v>243</v>
      </c>
      <c r="I23" s="45">
        <v>9</v>
      </c>
      <c r="J23" s="45">
        <v>11</v>
      </c>
      <c r="K23" s="45">
        <v>5</v>
      </c>
      <c r="L23" s="45">
        <v>3</v>
      </c>
      <c r="M23" s="45">
        <v>64</v>
      </c>
    </row>
    <row r="24" spans="2:13" ht="14.4" x14ac:dyDescent="0.3">
      <c r="B24" t="s">
        <v>214</v>
      </c>
      <c r="C24" t="s">
        <v>215</v>
      </c>
      <c r="D24" t="s">
        <v>216</v>
      </c>
      <c r="E24" t="s">
        <v>245</v>
      </c>
      <c r="F24" t="s">
        <v>246</v>
      </c>
      <c r="G24" t="s">
        <v>247</v>
      </c>
      <c r="H24" s="45" t="s">
        <v>246</v>
      </c>
      <c r="I24" s="45">
        <v>9.5</v>
      </c>
      <c r="J24" s="45">
        <v>10</v>
      </c>
      <c r="K24" s="45">
        <v>5.5</v>
      </c>
      <c r="L24" s="45">
        <v>3</v>
      </c>
      <c r="M24" s="45">
        <v>64</v>
      </c>
    </row>
    <row r="25" spans="2:13" ht="14.4" x14ac:dyDescent="0.3">
      <c r="B25" t="s">
        <v>214</v>
      </c>
      <c r="C25" t="s">
        <v>215</v>
      </c>
      <c r="D25" t="s">
        <v>216</v>
      </c>
      <c r="E25" t="s">
        <v>248</v>
      </c>
      <c r="F25" t="s">
        <v>249</v>
      </c>
      <c r="G25" t="s">
        <v>250</v>
      </c>
      <c r="H25" s="45" t="s">
        <v>249</v>
      </c>
      <c r="I25" s="45">
        <v>7</v>
      </c>
      <c r="J25" s="45">
        <v>9</v>
      </c>
      <c r="K25" s="45">
        <v>4</v>
      </c>
      <c r="L25" s="45">
        <v>2</v>
      </c>
      <c r="M25" s="45">
        <v>56</v>
      </c>
    </row>
    <row r="26" spans="2:13" ht="14.4" x14ac:dyDescent="0.3">
      <c r="B26" t="s">
        <v>214</v>
      </c>
      <c r="C26" t="s">
        <v>215</v>
      </c>
      <c r="D26" t="s">
        <v>216</v>
      </c>
      <c r="E26" t="s">
        <v>251</v>
      </c>
      <c r="F26" t="s">
        <v>252</v>
      </c>
      <c r="G26" t="s">
        <v>253</v>
      </c>
      <c r="H26" s="45" t="s">
        <v>252</v>
      </c>
      <c r="I26" s="45">
        <v>8.5</v>
      </c>
      <c r="J26" s="45">
        <v>11</v>
      </c>
      <c r="K26" s="45">
        <v>5</v>
      </c>
      <c r="L26" s="45">
        <v>3</v>
      </c>
      <c r="M26" s="45">
        <v>62</v>
      </c>
    </row>
    <row r="27" spans="2:13" ht="14.4" x14ac:dyDescent="0.3">
      <c r="B27" t="s">
        <v>214</v>
      </c>
      <c r="C27" t="s">
        <v>215</v>
      </c>
      <c r="D27" t="s">
        <v>216</v>
      </c>
      <c r="E27" t="s">
        <v>254</v>
      </c>
      <c r="F27" t="s">
        <v>255</v>
      </c>
      <c r="G27" t="s">
        <v>256</v>
      </c>
      <c r="H27" s="45" t="s">
        <v>255</v>
      </c>
      <c r="I27" s="45">
        <v>8</v>
      </c>
      <c r="J27" s="45">
        <v>10.5</v>
      </c>
      <c r="K27" s="45">
        <v>5.5</v>
      </c>
      <c r="L27" s="45">
        <v>3</v>
      </c>
      <c r="M27" s="45">
        <v>62</v>
      </c>
    </row>
    <row r="28" spans="2:13" ht="14.4" x14ac:dyDescent="0.3">
      <c r="B28" t="s">
        <v>257</v>
      </c>
      <c r="C28" t="s">
        <v>258</v>
      </c>
      <c r="D28" t="s">
        <v>259</v>
      </c>
      <c r="E28" t="s">
        <v>260</v>
      </c>
      <c r="F28" t="s">
        <v>261</v>
      </c>
      <c r="G28" t="s">
        <v>262</v>
      </c>
      <c r="H28" s="45" t="s">
        <v>261</v>
      </c>
      <c r="I28" s="45">
        <v>10</v>
      </c>
      <c r="J28" s="45">
        <v>12.5</v>
      </c>
      <c r="K28" s="45">
        <v>5</v>
      </c>
      <c r="L28" s="45">
        <v>3</v>
      </c>
      <c r="M28" s="45">
        <v>66</v>
      </c>
    </row>
    <row r="29" spans="2:13" ht="14.4" x14ac:dyDescent="0.3">
      <c r="B29" t="s">
        <v>257</v>
      </c>
      <c r="C29" t="s">
        <v>258</v>
      </c>
      <c r="D29" t="s">
        <v>259</v>
      </c>
      <c r="E29" t="s">
        <v>263</v>
      </c>
      <c r="F29" t="s">
        <v>264</v>
      </c>
      <c r="G29" t="s">
        <v>265</v>
      </c>
      <c r="H29" s="45" t="s">
        <v>264</v>
      </c>
      <c r="I29" s="45">
        <v>6.5</v>
      </c>
      <c r="J29" s="45">
        <v>15</v>
      </c>
      <c r="K29" s="45">
        <v>4</v>
      </c>
      <c r="L29" s="45">
        <v>2</v>
      </c>
      <c r="M29" s="45">
        <v>62</v>
      </c>
    </row>
    <row r="30" spans="2:13" ht="14.4" x14ac:dyDescent="0.3">
      <c r="B30" t="s">
        <v>257</v>
      </c>
      <c r="C30" t="s">
        <v>258</v>
      </c>
      <c r="D30" t="s">
        <v>259</v>
      </c>
      <c r="E30" t="s">
        <v>266</v>
      </c>
      <c r="F30" t="s">
        <v>267</v>
      </c>
      <c r="G30" t="s">
        <v>268</v>
      </c>
      <c r="H30" s="45" t="s">
        <v>269</v>
      </c>
      <c r="I30" s="45">
        <v>7.5</v>
      </c>
      <c r="J30" s="45">
        <v>8</v>
      </c>
      <c r="K30" s="45">
        <v>3.5</v>
      </c>
      <c r="L30" s="45">
        <v>2</v>
      </c>
      <c r="M30" s="45">
        <v>58</v>
      </c>
    </row>
    <row r="31" spans="2:13" ht="14.4" x14ac:dyDescent="0.3">
      <c r="B31" t="s">
        <v>257</v>
      </c>
      <c r="C31" t="s">
        <v>258</v>
      </c>
      <c r="D31" t="s">
        <v>259</v>
      </c>
      <c r="E31" t="s">
        <v>270</v>
      </c>
      <c r="F31" t="s">
        <v>271</v>
      </c>
      <c r="G31" t="s">
        <v>272</v>
      </c>
      <c r="H31" s="45" t="s">
        <v>271</v>
      </c>
      <c r="I31" s="45">
        <v>10</v>
      </c>
      <c r="J31" s="45">
        <v>12.5</v>
      </c>
      <c r="K31" s="45">
        <v>7.5</v>
      </c>
      <c r="L31" s="45">
        <v>5</v>
      </c>
      <c r="M31" s="45">
        <v>70</v>
      </c>
    </row>
    <row r="32" spans="2:13" ht="14.4" x14ac:dyDescent="0.3">
      <c r="B32" t="s">
        <v>257</v>
      </c>
      <c r="C32" t="s">
        <v>258</v>
      </c>
      <c r="D32" t="s">
        <v>259</v>
      </c>
      <c r="E32" t="s">
        <v>273</v>
      </c>
      <c r="F32" t="s">
        <v>274</v>
      </c>
      <c r="G32" t="s">
        <v>275</v>
      </c>
      <c r="H32" s="45" t="s">
        <v>274</v>
      </c>
      <c r="I32" s="45">
        <v>12.5</v>
      </c>
      <c r="J32" s="45">
        <v>20</v>
      </c>
      <c r="K32" s="45">
        <v>30</v>
      </c>
      <c r="L32" s="45">
        <v>20</v>
      </c>
      <c r="M32" s="45">
        <v>84</v>
      </c>
    </row>
    <row r="33" spans="2:13" ht="14.4" x14ac:dyDescent="0.3">
      <c r="B33" t="s">
        <v>257</v>
      </c>
      <c r="C33" t="s">
        <v>258</v>
      </c>
      <c r="D33" t="s">
        <v>259</v>
      </c>
      <c r="E33" t="s">
        <v>276</v>
      </c>
      <c r="F33" t="s">
        <v>277</v>
      </c>
      <c r="G33" t="s">
        <v>278</v>
      </c>
      <c r="H33" s="45" t="s">
        <v>277</v>
      </c>
      <c r="I33" s="45">
        <v>8</v>
      </c>
      <c r="J33" s="45">
        <v>10</v>
      </c>
      <c r="K33" s="45">
        <v>6</v>
      </c>
      <c r="L33" s="45">
        <v>4</v>
      </c>
      <c r="M33" s="45">
        <v>64</v>
      </c>
    </row>
    <row r="34" spans="2:13" ht="14.4" x14ac:dyDescent="0.3">
      <c r="B34" t="s">
        <v>257</v>
      </c>
      <c r="C34" t="s">
        <v>258</v>
      </c>
      <c r="D34" t="s">
        <v>259</v>
      </c>
      <c r="E34" t="s">
        <v>279</v>
      </c>
      <c r="F34" t="s">
        <v>280</v>
      </c>
      <c r="G34" t="s">
        <v>281</v>
      </c>
      <c r="H34" s="45" t="s">
        <v>280</v>
      </c>
      <c r="I34" s="45">
        <v>15</v>
      </c>
      <c r="J34" s="45">
        <v>25</v>
      </c>
      <c r="K34" s="45">
        <v>17.5</v>
      </c>
      <c r="L34" s="45">
        <v>12</v>
      </c>
      <c r="M34" s="45">
        <v>82</v>
      </c>
    </row>
    <row r="35" spans="2:13" ht="14.4" x14ac:dyDescent="0.3">
      <c r="B35" t="s">
        <v>257</v>
      </c>
      <c r="C35" t="s">
        <v>258</v>
      </c>
      <c r="D35" t="s">
        <v>259</v>
      </c>
      <c r="E35" t="s">
        <v>282</v>
      </c>
      <c r="F35" t="s">
        <v>283</v>
      </c>
      <c r="G35" t="s">
        <v>284</v>
      </c>
      <c r="H35" s="45" t="s">
        <v>283</v>
      </c>
      <c r="I35" s="45">
        <v>8</v>
      </c>
      <c r="J35" s="45">
        <v>9</v>
      </c>
      <c r="K35" s="45">
        <v>4.5</v>
      </c>
      <c r="L35" s="45">
        <v>3</v>
      </c>
      <c r="M35" s="45">
        <v>62</v>
      </c>
    </row>
    <row r="36" spans="2:13" ht="14.4" x14ac:dyDescent="0.3">
      <c r="B36" t="s">
        <v>257</v>
      </c>
      <c r="C36" t="s">
        <v>258</v>
      </c>
      <c r="D36" t="s">
        <v>259</v>
      </c>
      <c r="E36" t="s">
        <v>285</v>
      </c>
      <c r="F36" t="s">
        <v>286</v>
      </c>
      <c r="G36" t="s">
        <v>287</v>
      </c>
      <c r="H36" s="45" t="s">
        <v>286</v>
      </c>
      <c r="I36" s="45">
        <v>8.5</v>
      </c>
      <c r="J36" s="45">
        <v>10.5</v>
      </c>
      <c r="K36" s="45">
        <v>4.5</v>
      </c>
      <c r="L36" s="45">
        <v>3</v>
      </c>
      <c r="M36" s="45">
        <v>64</v>
      </c>
    </row>
    <row r="37" spans="2:13" ht="14.4" x14ac:dyDescent="0.3">
      <c r="B37" t="s">
        <v>257</v>
      </c>
      <c r="C37" t="s">
        <v>258</v>
      </c>
      <c r="D37" t="s">
        <v>259</v>
      </c>
      <c r="E37" t="s">
        <v>288</v>
      </c>
      <c r="F37" t="s">
        <v>289</v>
      </c>
      <c r="G37" t="s">
        <v>290</v>
      </c>
      <c r="H37" s="45" t="s">
        <v>289</v>
      </c>
      <c r="I37" s="45">
        <v>7</v>
      </c>
      <c r="J37" s="45">
        <v>16</v>
      </c>
      <c r="K37" s="45">
        <v>6</v>
      </c>
      <c r="L37" s="45">
        <v>4</v>
      </c>
      <c r="M37" s="45">
        <v>66</v>
      </c>
    </row>
    <row r="38" spans="2:13" ht="14.4" x14ac:dyDescent="0.3">
      <c r="B38" t="s">
        <v>257</v>
      </c>
      <c r="C38" t="s">
        <v>258</v>
      </c>
      <c r="D38" t="s">
        <v>259</v>
      </c>
      <c r="E38" t="s">
        <v>291</v>
      </c>
      <c r="F38" t="s">
        <v>292</v>
      </c>
      <c r="G38" t="s">
        <v>293</v>
      </c>
      <c r="H38" s="45" t="s">
        <v>292</v>
      </c>
      <c r="I38" s="45">
        <v>8</v>
      </c>
      <c r="J38" s="45">
        <v>13</v>
      </c>
      <c r="K38" s="45">
        <v>8</v>
      </c>
      <c r="L38" s="45">
        <v>5</v>
      </c>
      <c r="M38" s="45">
        <v>68</v>
      </c>
    </row>
    <row r="39" spans="2:13" ht="14.4" x14ac:dyDescent="0.3">
      <c r="B39" t="s">
        <v>257</v>
      </c>
      <c r="C39" t="s">
        <v>258</v>
      </c>
      <c r="D39" t="s">
        <v>259</v>
      </c>
      <c r="E39" t="s">
        <v>294</v>
      </c>
      <c r="F39" t="s">
        <v>295</v>
      </c>
      <c r="G39" t="s">
        <v>296</v>
      </c>
      <c r="H39" s="45" t="s">
        <v>295</v>
      </c>
      <c r="I39" s="45">
        <v>7.5</v>
      </c>
      <c r="J39" s="45">
        <v>11</v>
      </c>
      <c r="K39" s="45">
        <v>4.5</v>
      </c>
      <c r="L39" s="45">
        <v>3</v>
      </c>
      <c r="M39" s="45">
        <v>62</v>
      </c>
    </row>
    <row r="40" spans="2:13" ht="14.4" x14ac:dyDescent="0.3">
      <c r="B40" t="s">
        <v>297</v>
      </c>
      <c r="C40" t="s">
        <v>298</v>
      </c>
      <c r="D40" t="s">
        <v>299</v>
      </c>
      <c r="E40" t="s">
        <v>300</v>
      </c>
      <c r="F40" t="s">
        <v>301</v>
      </c>
      <c r="G40" t="s">
        <v>302</v>
      </c>
      <c r="H40" s="45" t="s">
        <v>303</v>
      </c>
      <c r="I40" s="45">
        <v>8</v>
      </c>
      <c r="J40" s="45">
        <v>7</v>
      </c>
      <c r="K40" s="45">
        <v>4</v>
      </c>
      <c r="L40" s="45">
        <v>2</v>
      </c>
      <c r="M40" s="45">
        <v>58</v>
      </c>
    </row>
    <row r="41" spans="2:13" ht="14.4" x14ac:dyDescent="0.3">
      <c r="B41" t="s">
        <v>297</v>
      </c>
      <c r="C41" t="s">
        <v>298</v>
      </c>
      <c r="D41" t="s">
        <v>299</v>
      </c>
      <c r="E41" t="s">
        <v>304</v>
      </c>
      <c r="F41" t="s">
        <v>305</v>
      </c>
      <c r="G41" t="s">
        <v>306</v>
      </c>
      <c r="H41" s="45" t="s">
        <v>305</v>
      </c>
      <c r="I41" s="45">
        <v>8</v>
      </c>
      <c r="J41" s="45">
        <v>12.5</v>
      </c>
      <c r="K41" s="45">
        <v>6.5</v>
      </c>
      <c r="L41" s="45">
        <v>4</v>
      </c>
      <c r="M41" s="45">
        <v>66</v>
      </c>
    </row>
    <row r="42" spans="2:13" ht="14.4" x14ac:dyDescent="0.3">
      <c r="B42" t="s">
        <v>297</v>
      </c>
      <c r="C42" t="s">
        <v>298</v>
      </c>
      <c r="D42" t="s">
        <v>299</v>
      </c>
      <c r="E42" t="s">
        <v>307</v>
      </c>
      <c r="F42" t="s">
        <v>308</v>
      </c>
      <c r="G42" t="s">
        <v>309</v>
      </c>
      <c r="H42" s="45" t="s">
        <v>308</v>
      </c>
      <c r="I42" s="45">
        <v>9</v>
      </c>
      <c r="J42" s="45">
        <v>12</v>
      </c>
      <c r="K42" s="45">
        <v>6.5</v>
      </c>
      <c r="L42" s="45">
        <v>4</v>
      </c>
      <c r="M42" s="45">
        <v>68</v>
      </c>
    </row>
    <row r="43" spans="2:13" ht="14.4" x14ac:dyDescent="0.3">
      <c r="B43" t="s">
        <v>297</v>
      </c>
      <c r="C43" t="s">
        <v>298</v>
      </c>
      <c r="D43" t="s">
        <v>299</v>
      </c>
      <c r="E43" t="s">
        <v>310</v>
      </c>
      <c r="F43" t="s">
        <v>311</v>
      </c>
      <c r="G43" t="s">
        <v>312</v>
      </c>
      <c r="H43" s="45" t="s">
        <v>311</v>
      </c>
      <c r="I43" s="45">
        <v>8</v>
      </c>
      <c r="J43" s="45">
        <v>11</v>
      </c>
      <c r="K43" s="45">
        <v>5.5</v>
      </c>
      <c r="L43" s="45">
        <v>3</v>
      </c>
      <c r="M43" s="45">
        <v>64</v>
      </c>
    </row>
    <row r="44" spans="2:13" ht="14.4" x14ac:dyDescent="0.3">
      <c r="B44" t="s">
        <v>297</v>
      </c>
      <c r="C44" t="s">
        <v>298</v>
      </c>
      <c r="D44" t="s">
        <v>299</v>
      </c>
      <c r="E44" t="s">
        <v>313</v>
      </c>
      <c r="F44" t="s">
        <v>314</v>
      </c>
      <c r="G44" t="s">
        <v>315</v>
      </c>
      <c r="H44" s="45" t="s">
        <v>314</v>
      </c>
      <c r="I44" s="45">
        <v>7.5</v>
      </c>
      <c r="J44" s="45">
        <v>10.5</v>
      </c>
      <c r="K44" s="45">
        <v>4.5</v>
      </c>
      <c r="L44" s="45">
        <v>3</v>
      </c>
      <c r="M44" s="45">
        <v>62</v>
      </c>
    </row>
    <row r="45" spans="2:13" ht="14.4" x14ac:dyDescent="0.3">
      <c r="B45" t="s">
        <v>297</v>
      </c>
      <c r="C45" t="s">
        <v>298</v>
      </c>
      <c r="D45" t="s">
        <v>299</v>
      </c>
      <c r="E45" t="s">
        <v>316</v>
      </c>
      <c r="F45" t="s">
        <v>317</v>
      </c>
      <c r="G45" t="s">
        <v>318</v>
      </c>
      <c r="H45" s="45" t="s">
        <v>317</v>
      </c>
      <c r="I45" s="45">
        <v>7.5</v>
      </c>
      <c r="J45" s="45">
        <v>10</v>
      </c>
      <c r="K45" s="45">
        <v>5</v>
      </c>
      <c r="L45" s="45">
        <v>3</v>
      </c>
      <c r="M45" s="45">
        <v>62</v>
      </c>
    </row>
    <row r="46" spans="2:13" ht="14.4" x14ac:dyDescent="0.3">
      <c r="B46" t="s">
        <v>297</v>
      </c>
      <c r="C46" t="s">
        <v>298</v>
      </c>
      <c r="D46" t="s">
        <v>299</v>
      </c>
      <c r="E46" t="s">
        <v>319</v>
      </c>
      <c r="F46" t="s">
        <v>320</v>
      </c>
      <c r="G46" t="s">
        <v>321</v>
      </c>
      <c r="H46" s="45" t="s">
        <v>320</v>
      </c>
      <c r="I46" s="45">
        <v>8.5</v>
      </c>
      <c r="J46" s="45">
        <v>12</v>
      </c>
      <c r="K46" s="45">
        <v>5.5</v>
      </c>
      <c r="L46" s="45">
        <v>3</v>
      </c>
      <c r="M46" s="45">
        <v>66</v>
      </c>
    </row>
    <row r="47" spans="2:13" ht="14.4" x14ac:dyDescent="0.3">
      <c r="B47" t="s">
        <v>297</v>
      </c>
      <c r="C47" t="s">
        <v>298</v>
      </c>
      <c r="D47" t="s">
        <v>299</v>
      </c>
      <c r="E47" t="s">
        <v>322</v>
      </c>
      <c r="F47" t="s">
        <v>323</v>
      </c>
      <c r="G47" t="s">
        <v>324</v>
      </c>
      <c r="H47" s="45" t="s">
        <v>323</v>
      </c>
      <c r="I47" s="45">
        <v>8</v>
      </c>
      <c r="J47" s="45">
        <v>11</v>
      </c>
      <c r="K47" s="45">
        <v>5</v>
      </c>
      <c r="L47" s="45">
        <v>3</v>
      </c>
      <c r="M47" s="45">
        <v>64</v>
      </c>
    </row>
    <row r="48" spans="2:13" ht="14.4" x14ac:dyDescent="0.3">
      <c r="B48" t="s">
        <v>297</v>
      </c>
      <c r="C48" t="s">
        <v>298</v>
      </c>
      <c r="D48" t="s">
        <v>299</v>
      </c>
      <c r="E48" t="s">
        <v>325</v>
      </c>
      <c r="F48" t="s">
        <v>326</v>
      </c>
      <c r="G48" t="s">
        <v>327</v>
      </c>
      <c r="H48" s="45" t="s">
        <v>326</v>
      </c>
      <c r="I48" s="45">
        <v>10</v>
      </c>
      <c r="J48" s="45">
        <v>15</v>
      </c>
      <c r="K48" s="45">
        <v>10</v>
      </c>
      <c r="L48" s="45">
        <v>6</v>
      </c>
      <c r="M48" s="45">
        <v>72</v>
      </c>
    </row>
    <row r="49" spans="2:13" ht="14.4" x14ac:dyDescent="0.3">
      <c r="B49" t="s">
        <v>297</v>
      </c>
      <c r="C49" t="s">
        <v>298</v>
      </c>
      <c r="D49" t="s">
        <v>299</v>
      </c>
      <c r="E49" t="s">
        <v>328</v>
      </c>
      <c r="F49" t="s">
        <v>329</v>
      </c>
      <c r="G49" t="s">
        <v>330</v>
      </c>
      <c r="H49" s="45" t="s">
        <v>329</v>
      </c>
      <c r="I49" s="45">
        <v>10</v>
      </c>
      <c r="J49" s="45">
        <v>11</v>
      </c>
      <c r="K49" s="45">
        <v>7.5</v>
      </c>
      <c r="L49" s="45">
        <v>5</v>
      </c>
      <c r="M49" s="45">
        <v>70</v>
      </c>
    </row>
    <row r="50" spans="2:13" ht="14.4" x14ac:dyDescent="0.3">
      <c r="B50" t="s">
        <v>297</v>
      </c>
      <c r="C50" t="s">
        <v>298</v>
      </c>
      <c r="D50" t="s">
        <v>299</v>
      </c>
      <c r="E50" t="s">
        <v>331</v>
      </c>
      <c r="F50" t="s">
        <v>332</v>
      </c>
      <c r="G50" t="s">
        <v>333</v>
      </c>
      <c r="H50" s="45" t="s">
        <v>332</v>
      </c>
      <c r="I50" s="45">
        <v>10</v>
      </c>
      <c r="J50" s="45">
        <v>14</v>
      </c>
      <c r="K50" s="45">
        <v>5</v>
      </c>
      <c r="L50" s="45">
        <v>3</v>
      </c>
      <c r="M50" s="45">
        <v>68</v>
      </c>
    </row>
    <row r="51" spans="2:13" ht="14.4" x14ac:dyDescent="0.3">
      <c r="B51" t="s">
        <v>297</v>
      </c>
      <c r="C51" t="s">
        <v>298</v>
      </c>
      <c r="D51" t="s">
        <v>299</v>
      </c>
      <c r="E51" t="s">
        <v>334</v>
      </c>
      <c r="F51" t="s">
        <v>335</v>
      </c>
      <c r="G51" t="s">
        <v>336</v>
      </c>
      <c r="H51" s="45" t="s">
        <v>335</v>
      </c>
      <c r="I51" s="45">
        <v>12.5</v>
      </c>
      <c r="J51" s="45">
        <v>22.5</v>
      </c>
      <c r="K51" s="45">
        <v>6.5</v>
      </c>
      <c r="L51" s="45">
        <v>4</v>
      </c>
      <c r="M51" s="45">
        <v>74</v>
      </c>
    </row>
    <row r="52" spans="2:13" ht="14.4" x14ac:dyDescent="0.3">
      <c r="B52" t="s">
        <v>297</v>
      </c>
      <c r="C52" t="s">
        <v>298</v>
      </c>
      <c r="D52" t="s">
        <v>299</v>
      </c>
      <c r="E52" t="s">
        <v>337</v>
      </c>
      <c r="F52" t="s">
        <v>338</v>
      </c>
      <c r="G52" t="s">
        <v>339</v>
      </c>
      <c r="H52" s="45" t="s">
        <v>338</v>
      </c>
      <c r="I52" s="45">
        <v>15</v>
      </c>
      <c r="J52" s="45">
        <v>27</v>
      </c>
      <c r="K52" s="45">
        <v>7.5</v>
      </c>
      <c r="L52" s="45">
        <v>5</v>
      </c>
      <c r="M52" s="45">
        <v>78</v>
      </c>
    </row>
    <row r="53" spans="2:13" ht="14.4" x14ac:dyDescent="0.3">
      <c r="B53" t="s">
        <v>297</v>
      </c>
      <c r="C53" t="s">
        <v>298</v>
      </c>
      <c r="D53" t="s">
        <v>299</v>
      </c>
      <c r="E53" t="s">
        <v>340</v>
      </c>
      <c r="F53" t="s">
        <v>341</v>
      </c>
      <c r="G53" t="s">
        <v>342</v>
      </c>
      <c r="H53" s="45" t="s">
        <v>341</v>
      </c>
      <c r="I53" s="45">
        <v>9</v>
      </c>
      <c r="J53" s="45">
        <v>18</v>
      </c>
      <c r="K53" s="45">
        <v>6</v>
      </c>
      <c r="L53" s="45">
        <v>4</v>
      </c>
      <c r="M53" s="45">
        <v>70</v>
      </c>
    </row>
    <row r="54" spans="2:13" ht="14.4" x14ac:dyDescent="0.3">
      <c r="B54" t="s">
        <v>297</v>
      </c>
      <c r="C54" t="s">
        <v>298</v>
      </c>
      <c r="D54" t="s">
        <v>299</v>
      </c>
      <c r="E54" t="s">
        <v>343</v>
      </c>
      <c r="F54" t="s">
        <v>344</v>
      </c>
      <c r="G54" t="s">
        <v>345</v>
      </c>
      <c r="H54" s="45" t="s">
        <v>344</v>
      </c>
      <c r="I54" s="45">
        <v>10</v>
      </c>
      <c r="J54" s="45">
        <v>16</v>
      </c>
      <c r="K54" s="45">
        <v>16</v>
      </c>
      <c r="L54" s="45">
        <v>12</v>
      </c>
      <c r="M54" s="45">
        <v>76</v>
      </c>
    </row>
    <row r="55" spans="2:13" ht="14.4" x14ac:dyDescent="0.3">
      <c r="B55" t="s">
        <v>346</v>
      </c>
      <c r="C55" t="s">
        <v>347</v>
      </c>
      <c r="D55" t="s">
        <v>348</v>
      </c>
      <c r="E55" t="s">
        <v>349</v>
      </c>
      <c r="F55" t="s">
        <v>350</v>
      </c>
      <c r="G55" t="s">
        <v>351</v>
      </c>
      <c r="H55" s="45" t="s">
        <v>350</v>
      </c>
      <c r="I55" s="45">
        <v>10</v>
      </c>
      <c r="J55" s="45">
        <v>14</v>
      </c>
      <c r="K55" s="45">
        <v>17.5</v>
      </c>
      <c r="L55" s="45">
        <v>12</v>
      </c>
      <c r="M55" s="45">
        <v>76</v>
      </c>
    </row>
    <row r="56" spans="2:13" ht="14.4" x14ac:dyDescent="0.3">
      <c r="B56" t="s">
        <v>346</v>
      </c>
      <c r="C56" t="s">
        <v>347</v>
      </c>
      <c r="D56" t="s">
        <v>348</v>
      </c>
      <c r="E56" t="s">
        <v>352</v>
      </c>
      <c r="F56" t="s">
        <v>353</v>
      </c>
      <c r="G56" t="s">
        <v>354</v>
      </c>
      <c r="H56" s="45" t="s">
        <v>353</v>
      </c>
      <c r="I56" s="45">
        <v>9.5</v>
      </c>
      <c r="J56" s="45">
        <v>15</v>
      </c>
      <c r="K56" s="45">
        <v>12</v>
      </c>
      <c r="L56" s="45">
        <v>8</v>
      </c>
      <c r="M56" s="45">
        <v>72</v>
      </c>
    </row>
    <row r="57" spans="2:13" ht="14.4" x14ac:dyDescent="0.3">
      <c r="B57" t="s">
        <v>346</v>
      </c>
      <c r="C57" t="s">
        <v>347</v>
      </c>
      <c r="D57" t="s">
        <v>348</v>
      </c>
      <c r="E57" t="s">
        <v>355</v>
      </c>
      <c r="F57" t="s">
        <v>356</v>
      </c>
      <c r="G57" t="s">
        <v>357</v>
      </c>
      <c r="H57" s="45" t="s">
        <v>356</v>
      </c>
      <c r="I57" s="45">
        <v>9</v>
      </c>
      <c r="J57" s="45">
        <v>15</v>
      </c>
      <c r="K57" s="45">
        <v>21.5</v>
      </c>
      <c r="L57" s="45">
        <v>15</v>
      </c>
      <c r="M57" s="45">
        <v>78</v>
      </c>
    </row>
    <row r="58" spans="2:13" ht="14.4" x14ac:dyDescent="0.3">
      <c r="B58" t="s">
        <v>346</v>
      </c>
      <c r="C58" t="s">
        <v>347</v>
      </c>
      <c r="D58" t="s">
        <v>348</v>
      </c>
      <c r="E58" t="s">
        <v>358</v>
      </c>
      <c r="F58" t="s">
        <v>359</v>
      </c>
      <c r="G58" t="s">
        <v>360</v>
      </c>
      <c r="H58" s="45" t="s">
        <v>359</v>
      </c>
      <c r="I58" s="45">
        <v>9.5</v>
      </c>
      <c r="J58" s="45">
        <v>13</v>
      </c>
      <c r="K58" s="45">
        <v>10</v>
      </c>
      <c r="L58" s="45">
        <v>7</v>
      </c>
      <c r="M58" s="45">
        <v>72</v>
      </c>
    </row>
    <row r="59" spans="2:13" ht="14.4" x14ac:dyDescent="0.3">
      <c r="B59" t="s">
        <v>346</v>
      </c>
      <c r="C59" t="s">
        <v>347</v>
      </c>
      <c r="D59" t="s">
        <v>348</v>
      </c>
      <c r="E59" t="s">
        <v>361</v>
      </c>
      <c r="F59" t="s">
        <v>362</v>
      </c>
      <c r="G59" t="s">
        <v>363</v>
      </c>
      <c r="H59" s="45" t="s">
        <v>362</v>
      </c>
      <c r="I59" s="45">
        <v>10</v>
      </c>
      <c r="J59" s="45">
        <v>16</v>
      </c>
      <c r="K59" s="45">
        <v>8</v>
      </c>
      <c r="L59" s="45">
        <v>6</v>
      </c>
      <c r="M59" s="45">
        <v>72</v>
      </c>
    </row>
    <row r="60" spans="2:13" ht="14.4" x14ac:dyDescent="0.3">
      <c r="B60" t="s">
        <v>346</v>
      </c>
      <c r="C60" t="s">
        <v>347</v>
      </c>
      <c r="D60" t="s">
        <v>348</v>
      </c>
      <c r="E60" t="s">
        <v>364</v>
      </c>
      <c r="F60" t="s">
        <v>365</v>
      </c>
      <c r="G60" t="s">
        <v>366</v>
      </c>
      <c r="H60" s="45" t="s">
        <v>365</v>
      </c>
      <c r="I60" s="45">
        <v>11</v>
      </c>
      <c r="J60" s="45">
        <v>16</v>
      </c>
      <c r="K60" s="45">
        <v>6.5</v>
      </c>
      <c r="L60" s="45">
        <v>4</v>
      </c>
      <c r="M60" s="45">
        <v>72</v>
      </c>
    </row>
    <row r="61" spans="2:13" ht="14.4" x14ac:dyDescent="0.3">
      <c r="B61" t="s">
        <v>346</v>
      </c>
      <c r="C61" t="s">
        <v>347</v>
      </c>
      <c r="D61" t="s">
        <v>348</v>
      </c>
      <c r="E61" t="s">
        <v>367</v>
      </c>
      <c r="F61" t="s">
        <v>368</v>
      </c>
      <c r="G61" t="s">
        <v>369</v>
      </c>
      <c r="H61" s="45" t="s">
        <v>368</v>
      </c>
      <c r="I61" s="45">
        <v>12</v>
      </c>
      <c r="J61" s="45">
        <v>18.5</v>
      </c>
      <c r="K61" s="45">
        <v>7.5</v>
      </c>
      <c r="L61" s="45">
        <v>5</v>
      </c>
      <c r="M61" s="45">
        <v>74</v>
      </c>
    </row>
    <row r="62" spans="2:13" ht="14.4" x14ac:dyDescent="0.3">
      <c r="B62" t="s">
        <v>346</v>
      </c>
      <c r="C62" t="s">
        <v>347</v>
      </c>
      <c r="D62" t="s">
        <v>348</v>
      </c>
      <c r="E62" t="s">
        <v>370</v>
      </c>
      <c r="F62" t="s">
        <v>371</v>
      </c>
      <c r="G62" t="s">
        <v>372</v>
      </c>
      <c r="H62" s="45" t="s">
        <v>371</v>
      </c>
      <c r="I62" s="45">
        <v>9.5</v>
      </c>
      <c r="J62" s="45">
        <v>14</v>
      </c>
      <c r="K62" s="45">
        <v>9</v>
      </c>
      <c r="L62" s="45">
        <v>6</v>
      </c>
      <c r="M62" s="45">
        <v>70</v>
      </c>
    </row>
    <row r="63" spans="2:13" ht="14.4" x14ac:dyDescent="0.3">
      <c r="B63" t="s">
        <v>346</v>
      </c>
      <c r="C63" t="s">
        <v>347</v>
      </c>
      <c r="D63" t="s">
        <v>348</v>
      </c>
      <c r="E63" t="s">
        <v>373</v>
      </c>
      <c r="F63" t="s">
        <v>374</v>
      </c>
      <c r="G63" t="s">
        <v>375</v>
      </c>
      <c r="H63" s="45" t="s">
        <v>374</v>
      </c>
      <c r="I63" s="45">
        <v>10</v>
      </c>
      <c r="J63" s="45">
        <v>17</v>
      </c>
      <c r="K63" s="45">
        <v>7</v>
      </c>
      <c r="L63" s="45">
        <v>5</v>
      </c>
      <c r="M63" s="45">
        <v>72</v>
      </c>
    </row>
    <row r="64" spans="2:13" ht="14.4" x14ac:dyDescent="0.3">
      <c r="B64" t="s">
        <v>346</v>
      </c>
      <c r="C64" t="s">
        <v>347</v>
      </c>
      <c r="D64" t="s">
        <v>348</v>
      </c>
      <c r="E64" t="s">
        <v>376</v>
      </c>
      <c r="F64" t="s">
        <v>377</v>
      </c>
      <c r="G64" t="s">
        <v>378</v>
      </c>
      <c r="H64" s="45" t="s">
        <v>377</v>
      </c>
      <c r="I64" s="45">
        <v>9</v>
      </c>
      <c r="J64" s="45">
        <v>16</v>
      </c>
      <c r="K64" s="45">
        <v>8</v>
      </c>
      <c r="L64" s="45">
        <v>5</v>
      </c>
      <c r="M64" s="45">
        <v>70</v>
      </c>
    </row>
    <row r="65" spans="2:13" ht="14.4" x14ac:dyDescent="0.3">
      <c r="B65" t="s">
        <v>346</v>
      </c>
      <c r="C65" t="s">
        <v>347</v>
      </c>
      <c r="D65" t="s">
        <v>348</v>
      </c>
      <c r="E65" t="s">
        <v>379</v>
      </c>
      <c r="F65" t="s">
        <v>380</v>
      </c>
      <c r="G65" t="s">
        <v>381</v>
      </c>
      <c r="H65" s="45" t="s">
        <v>380</v>
      </c>
      <c r="I65" s="45">
        <v>9.5</v>
      </c>
      <c r="J65" s="45">
        <v>15</v>
      </c>
      <c r="K65" s="45">
        <v>14</v>
      </c>
      <c r="L65" s="45">
        <v>10</v>
      </c>
      <c r="M65" s="45">
        <v>74</v>
      </c>
    </row>
    <row r="66" spans="2:13" ht="14.4" x14ac:dyDescent="0.3">
      <c r="B66" t="s">
        <v>346</v>
      </c>
      <c r="C66" t="s">
        <v>347</v>
      </c>
      <c r="D66" t="s">
        <v>348</v>
      </c>
      <c r="E66" t="s">
        <v>382</v>
      </c>
      <c r="F66" t="s">
        <v>383</v>
      </c>
      <c r="G66" t="s">
        <v>384</v>
      </c>
      <c r="H66" s="45" t="s">
        <v>383</v>
      </c>
      <c r="I66" s="45">
        <v>12.5</v>
      </c>
      <c r="J66" s="45">
        <v>16</v>
      </c>
      <c r="K66" s="45">
        <v>25</v>
      </c>
      <c r="L66" s="45">
        <v>18</v>
      </c>
      <c r="M66" s="45">
        <v>82</v>
      </c>
    </row>
    <row r="67" spans="2:13" ht="14.4" x14ac:dyDescent="0.3">
      <c r="B67" t="s">
        <v>385</v>
      </c>
      <c r="C67" t="s">
        <v>386</v>
      </c>
      <c r="D67" t="s">
        <v>387</v>
      </c>
      <c r="E67" t="s">
        <v>388</v>
      </c>
      <c r="F67" t="s">
        <v>389</v>
      </c>
      <c r="G67" t="s">
        <v>390</v>
      </c>
      <c r="H67" s="45" t="s">
        <v>389</v>
      </c>
      <c r="I67" s="45">
        <v>9</v>
      </c>
      <c r="J67" s="45">
        <v>7.5</v>
      </c>
      <c r="K67" s="45">
        <v>5</v>
      </c>
      <c r="L67" s="45">
        <v>3</v>
      </c>
      <c r="M67" s="45">
        <v>62</v>
      </c>
    </row>
    <row r="68" spans="2:13" ht="14.4" x14ac:dyDescent="0.3">
      <c r="B68" t="s">
        <v>385</v>
      </c>
      <c r="C68" t="s">
        <v>386</v>
      </c>
      <c r="D68" t="s">
        <v>387</v>
      </c>
      <c r="E68" t="s">
        <v>391</v>
      </c>
      <c r="F68" t="s">
        <v>392</v>
      </c>
      <c r="G68" t="s">
        <v>393</v>
      </c>
      <c r="H68" s="45" t="s">
        <v>392</v>
      </c>
      <c r="I68" s="45">
        <v>10</v>
      </c>
      <c r="J68" s="45">
        <v>8</v>
      </c>
      <c r="K68" s="45">
        <v>5.5</v>
      </c>
      <c r="L68" s="45">
        <v>4</v>
      </c>
      <c r="M68" s="45">
        <v>66</v>
      </c>
    </row>
    <row r="69" spans="2:13" ht="14.4" x14ac:dyDescent="0.3">
      <c r="B69" t="s">
        <v>385</v>
      </c>
      <c r="C69" t="s">
        <v>386</v>
      </c>
      <c r="D69" t="s">
        <v>387</v>
      </c>
      <c r="E69" t="s">
        <v>394</v>
      </c>
      <c r="F69" t="s">
        <v>395</v>
      </c>
      <c r="G69" t="s">
        <v>396</v>
      </c>
      <c r="H69" s="45" t="s">
        <v>397</v>
      </c>
      <c r="I69" s="45">
        <v>8</v>
      </c>
      <c r="J69" s="45">
        <v>6</v>
      </c>
      <c r="K69" s="45">
        <v>10</v>
      </c>
      <c r="L69" s="45">
        <v>6</v>
      </c>
      <c r="M69" s="45">
        <v>66</v>
      </c>
    </row>
    <row r="70" spans="2:13" ht="14.4" x14ac:dyDescent="0.3">
      <c r="B70" t="s">
        <v>385</v>
      </c>
      <c r="C70" t="s">
        <v>386</v>
      </c>
      <c r="D70" t="s">
        <v>387</v>
      </c>
      <c r="E70" t="s">
        <v>398</v>
      </c>
      <c r="F70" t="s">
        <v>399</v>
      </c>
      <c r="G70" t="s">
        <v>400</v>
      </c>
      <c r="H70" s="45" t="s">
        <v>399</v>
      </c>
      <c r="I70" s="45">
        <v>9</v>
      </c>
      <c r="J70" s="45">
        <v>7.5</v>
      </c>
      <c r="K70" s="45">
        <v>6.5</v>
      </c>
      <c r="L70" s="45">
        <v>4</v>
      </c>
      <c r="M70" s="45">
        <v>66</v>
      </c>
    </row>
    <row r="71" spans="2:13" ht="14.4" x14ac:dyDescent="0.3">
      <c r="B71" t="s">
        <v>385</v>
      </c>
      <c r="C71" t="s">
        <v>386</v>
      </c>
      <c r="D71" t="s">
        <v>387</v>
      </c>
      <c r="E71" t="s">
        <v>401</v>
      </c>
      <c r="F71" t="s">
        <v>402</v>
      </c>
      <c r="G71" t="s">
        <v>403</v>
      </c>
      <c r="H71" s="45" t="s">
        <v>402</v>
      </c>
      <c r="I71" s="45">
        <v>7</v>
      </c>
      <c r="J71" s="45">
        <v>8</v>
      </c>
      <c r="K71" s="45">
        <v>4</v>
      </c>
      <c r="L71" s="45">
        <v>2</v>
      </c>
      <c r="M71" s="45">
        <v>58</v>
      </c>
    </row>
    <row r="72" spans="2:13" ht="14.4" x14ac:dyDescent="0.3">
      <c r="B72" t="s">
        <v>385</v>
      </c>
      <c r="C72" t="s">
        <v>386</v>
      </c>
      <c r="D72" t="s">
        <v>387</v>
      </c>
      <c r="E72" t="s">
        <v>404</v>
      </c>
      <c r="F72" t="s">
        <v>405</v>
      </c>
      <c r="G72" t="s">
        <v>406</v>
      </c>
      <c r="H72" s="45" t="s">
        <v>405</v>
      </c>
      <c r="I72" s="45">
        <v>10.5</v>
      </c>
      <c r="J72" s="45">
        <v>10</v>
      </c>
      <c r="K72" s="45">
        <v>7.5</v>
      </c>
      <c r="L72" s="45">
        <v>5</v>
      </c>
      <c r="M72" s="45">
        <v>70</v>
      </c>
    </row>
    <row r="73" spans="2:13" ht="14.4" x14ac:dyDescent="0.3">
      <c r="B73" t="s">
        <v>385</v>
      </c>
      <c r="C73" t="s">
        <v>386</v>
      </c>
      <c r="D73" t="s">
        <v>387</v>
      </c>
      <c r="E73" t="s">
        <v>407</v>
      </c>
      <c r="F73" t="s">
        <v>408</v>
      </c>
      <c r="G73" t="s">
        <v>409</v>
      </c>
      <c r="H73" s="45" t="s">
        <v>408</v>
      </c>
      <c r="I73" s="45">
        <v>10</v>
      </c>
      <c r="J73" s="45">
        <v>10.5</v>
      </c>
      <c r="K73" s="45">
        <v>7</v>
      </c>
      <c r="L73" s="45">
        <v>5</v>
      </c>
      <c r="M73" s="45">
        <v>70</v>
      </c>
    </row>
    <row r="74" spans="2:13" ht="14.4" x14ac:dyDescent="0.3">
      <c r="B74" t="s">
        <v>385</v>
      </c>
      <c r="C74" t="s">
        <v>386</v>
      </c>
      <c r="D74" t="s">
        <v>387</v>
      </c>
      <c r="E74" t="s">
        <v>410</v>
      </c>
      <c r="F74" t="s">
        <v>411</v>
      </c>
      <c r="G74" t="s">
        <v>412</v>
      </c>
      <c r="H74" s="45" t="s">
        <v>411</v>
      </c>
      <c r="I74" s="45">
        <v>8.5</v>
      </c>
      <c r="J74" s="45">
        <v>9</v>
      </c>
      <c r="K74" s="45">
        <v>5</v>
      </c>
      <c r="L74" s="45">
        <v>3</v>
      </c>
      <c r="M74" s="45">
        <v>64</v>
      </c>
    </row>
    <row r="75" spans="2:13" x14ac:dyDescent="0.3">
      <c r="B75" s="39" t="s">
        <v>385</v>
      </c>
      <c r="C75" s="39" t="s">
        <v>386</v>
      </c>
      <c r="D75" s="39" t="s">
        <v>387</v>
      </c>
      <c r="E75" s="39" t="s">
        <v>413</v>
      </c>
      <c r="F75" s="39" t="s">
        <v>414</v>
      </c>
      <c r="G75" s="39" t="s">
        <v>415</v>
      </c>
      <c r="H75" s="39" t="s">
        <v>414</v>
      </c>
      <c r="I75" s="39">
        <v>9</v>
      </c>
      <c r="J75" s="39">
        <v>10</v>
      </c>
      <c r="K75" s="39">
        <v>5.5</v>
      </c>
      <c r="L75" s="39">
        <v>4</v>
      </c>
      <c r="M75" s="39">
        <v>66</v>
      </c>
    </row>
    <row r="76" spans="2:13" ht="14.4" x14ac:dyDescent="0.3">
      <c r="B76" t="s">
        <v>385</v>
      </c>
      <c r="C76" t="s">
        <v>386</v>
      </c>
      <c r="D76" t="s">
        <v>387</v>
      </c>
      <c r="E76" t="s">
        <v>416</v>
      </c>
      <c r="F76" t="s">
        <v>417</v>
      </c>
      <c r="G76" t="s">
        <v>418</v>
      </c>
      <c r="H76" s="45" t="s">
        <v>417</v>
      </c>
      <c r="I76" s="45">
        <v>8</v>
      </c>
      <c r="J76" s="45">
        <v>8.5</v>
      </c>
      <c r="K76" s="45">
        <v>6</v>
      </c>
      <c r="L76" s="45">
        <v>4</v>
      </c>
      <c r="M76" s="45">
        <v>64</v>
      </c>
    </row>
    <row r="77" spans="2:13" ht="14.4" x14ac:dyDescent="0.3">
      <c r="B77" t="s">
        <v>385</v>
      </c>
      <c r="C77" t="s">
        <v>386</v>
      </c>
      <c r="D77" t="s">
        <v>387</v>
      </c>
      <c r="E77" t="s">
        <v>419</v>
      </c>
      <c r="F77" t="s">
        <v>420</v>
      </c>
      <c r="G77" t="s">
        <v>421</v>
      </c>
      <c r="H77" s="45" t="s">
        <v>420</v>
      </c>
      <c r="I77" s="45">
        <v>9.5</v>
      </c>
      <c r="J77" s="45">
        <v>12</v>
      </c>
      <c r="K77" s="45">
        <v>6</v>
      </c>
      <c r="L77" s="45">
        <v>4</v>
      </c>
      <c r="M77" s="45">
        <v>68</v>
      </c>
    </row>
    <row r="78" spans="2:13" ht="14.4" x14ac:dyDescent="0.3">
      <c r="B78" t="s">
        <v>385</v>
      </c>
      <c r="C78" t="s">
        <v>386</v>
      </c>
      <c r="D78" t="s">
        <v>387</v>
      </c>
      <c r="E78" t="s">
        <v>422</v>
      </c>
      <c r="F78" t="s">
        <v>423</v>
      </c>
      <c r="G78" t="s">
        <v>424</v>
      </c>
      <c r="H78" s="45" t="s">
        <v>425</v>
      </c>
      <c r="I78" s="45">
        <v>11.5</v>
      </c>
      <c r="J78" s="45">
        <v>9</v>
      </c>
      <c r="K78" s="45">
        <v>12.5</v>
      </c>
      <c r="L78" s="45">
        <v>8</v>
      </c>
      <c r="M78" s="45">
        <v>74</v>
      </c>
    </row>
    <row r="79" spans="2:13" ht="14.4" x14ac:dyDescent="0.3">
      <c r="B79" t="s">
        <v>426</v>
      </c>
      <c r="C79" t="s">
        <v>427</v>
      </c>
      <c r="D79" t="s">
        <v>428</v>
      </c>
      <c r="E79" t="s">
        <v>429</v>
      </c>
      <c r="F79" t="s">
        <v>430</v>
      </c>
      <c r="G79" t="s">
        <v>431</v>
      </c>
      <c r="H79" s="45" t="s">
        <v>430</v>
      </c>
      <c r="I79" s="45">
        <v>12</v>
      </c>
      <c r="J79" s="45">
        <v>12</v>
      </c>
      <c r="K79" s="45">
        <v>5</v>
      </c>
      <c r="L79" s="45">
        <v>3</v>
      </c>
      <c r="M79" s="45">
        <v>68</v>
      </c>
    </row>
    <row r="80" spans="2:13" ht="14.4" x14ac:dyDescent="0.3">
      <c r="B80" t="s">
        <v>426</v>
      </c>
      <c r="C80" t="s">
        <v>427</v>
      </c>
      <c r="D80" t="s">
        <v>428</v>
      </c>
      <c r="E80" t="s">
        <v>432</v>
      </c>
      <c r="F80" t="s">
        <v>433</v>
      </c>
      <c r="G80" t="s">
        <v>434</v>
      </c>
      <c r="H80" s="45" t="s">
        <v>433</v>
      </c>
      <c r="I80" s="45">
        <v>13</v>
      </c>
      <c r="J80" s="45">
        <v>17</v>
      </c>
      <c r="K80" s="45">
        <v>5.5</v>
      </c>
      <c r="L80" s="45">
        <v>4</v>
      </c>
      <c r="M80" s="45">
        <v>72</v>
      </c>
    </row>
    <row r="81" spans="2:13" ht="14.4" x14ac:dyDescent="0.3">
      <c r="B81" t="s">
        <v>426</v>
      </c>
      <c r="C81" t="s">
        <v>427</v>
      </c>
      <c r="D81" t="s">
        <v>428</v>
      </c>
      <c r="E81" t="s">
        <v>435</v>
      </c>
      <c r="F81" t="s">
        <v>436</v>
      </c>
      <c r="G81" t="s">
        <v>437</v>
      </c>
      <c r="H81" s="45" t="s">
        <v>436</v>
      </c>
      <c r="I81" s="45">
        <v>15</v>
      </c>
      <c r="J81" s="45">
        <v>18.5</v>
      </c>
      <c r="K81" s="45">
        <v>7.5</v>
      </c>
      <c r="L81" s="45">
        <v>5</v>
      </c>
      <c r="M81" s="45">
        <v>76</v>
      </c>
    </row>
    <row r="82" spans="2:13" ht="14.4" x14ac:dyDescent="0.3">
      <c r="B82" t="s">
        <v>426</v>
      </c>
      <c r="C82" t="s">
        <v>427</v>
      </c>
      <c r="D82" t="s">
        <v>428</v>
      </c>
      <c r="E82" t="s">
        <v>438</v>
      </c>
      <c r="F82" t="s">
        <v>439</v>
      </c>
      <c r="G82" t="s">
        <v>440</v>
      </c>
      <c r="H82" s="45" t="s">
        <v>439</v>
      </c>
      <c r="I82" s="45">
        <v>10</v>
      </c>
      <c r="J82" s="45">
        <v>10.5</v>
      </c>
      <c r="K82" s="45">
        <v>4.5</v>
      </c>
      <c r="L82" s="45">
        <v>2</v>
      </c>
      <c r="M82" s="45">
        <v>64</v>
      </c>
    </row>
    <row r="83" spans="2:13" ht="14.4" x14ac:dyDescent="0.3">
      <c r="B83" t="s">
        <v>426</v>
      </c>
      <c r="C83" t="s">
        <v>427</v>
      </c>
      <c r="D83" t="s">
        <v>428</v>
      </c>
      <c r="E83" t="s">
        <v>441</v>
      </c>
      <c r="F83" t="s">
        <v>442</v>
      </c>
      <c r="G83" t="s">
        <v>443</v>
      </c>
      <c r="H83" s="45" t="s">
        <v>442</v>
      </c>
      <c r="I83" s="45">
        <v>10.5</v>
      </c>
      <c r="J83" s="45">
        <v>11</v>
      </c>
      <c r="K83" s="45">
        <v>5</v>
      </c>
      <c r="L83" s="45">
        <v>3</v>
      </c>
      <c r="M83" s="45">
        <v>66</v>
      </c>
    </row>
    <row r="84" spans="2:13" ht="14.4" x14ac:dyDescent="0.3">
      <c r="B84" t="s">
        <v>426</v>
      </c>
      <c r="C84" t="s">
        <v>427</v>
      </c>
      <c r="D84" t="s">
        <v>428</v>
      </c>
      <c r="E84" t="s">
        <v>444</v>
      </c>
      <c r="F84" t="s">
        <v>445</v>
      </c>
      <c r="G84" t="s">
        <v>446</v>
      </c>
      <c r="H84" s="45" t="s">
        <v>445</v>
      </c>
      <c r="I84" s="45">
        <v>12</v>
      </c>
      <c r="J84" s="45">
        <v>14</v>
      </c>
      <c r="K84" s="45">
        <v>6.5</v>
      </c>
      <c r="L84" s="45">
        <v>4</v>
      </c>
      <c r="M84" s="45">
        <v>72</v>
      </c>
    </row>
    <row r="85" spans="2:13" ht="14.4" x14ac:dyDescent="0.3">
      <c r="B85" t="s">
        <v>426</v>
      </c>
      <c r="C85" t="s">
        <v>427</v>
      </c>
      <c r="D85" t="s">
        <v>428</v>
      </c>
      <c r="E85" t="s">
        <v>447</v>
      </c>
      <c r="F85" t="s">
        <v>448</v>
      </c>
      <c r="G85" t="s">
        <v>449</v>
      </c>
      <c r="H85" s="45" t="s">
        <v>448</v>
      </c>
      <c r="I85" s="45">
        <v>9</v>
      </c>
      <c r="J85" s="45">
        <v>10</v>
      </c>
      <c r="K85" s="45">
        <v>5</v>
      </c>
      <c r="L85" s="45">
        <v>3</v>
      </c>
      <c r="M85" s="45">
        <v>64</v>
      </c>
    </row>
    <row r="86" spans="2:13" ht="14.4" x14ac:dyDescent="0.3">
      <c r="B86" t="s">
        <v>426</v>
      </c>
      <c r="C86" t="s">
        <v>427</v>
      </c>
      <c r="D86" t="s">
        <v>428</v>
      </c>
      <c r="E86" t="s">
        <v>450</v>
      </c>
      <c r="F86" t="s">
        <v>451</v>
      </c>
      <c r="G86" t="s">
        <v>452</v>
      </c>
      <c r="H86" s="45" t="s">
        <v>451</v>
      </c>
      <c r="I86" s="45">
        <v>11</v>
      </c>
      <c r="J86" s="45">
        <v>16</v>
      </c>
      <c r="K86" s="45">
        <v>7</v>
      </c>
      <c r="L86" s="45">
        <v>5</v>
      </c>
      <c r="M86" s="45">
        <v>72</v>
      </c>
    </row>
    <row r="87" spans="2:13" ht="14.4" x14ac:dyDescent="0.3">
      <c r="B87" t="s">
        <v>426</v>
      </c>
      <c r="C87" t="s">
        <v>427</v>
      </c>
      <c r="D87" t="s">
        <v>428</v>
      </c>
      <c r="E87" t="s">
        <v>453</v>
      </c>
      <c r="F87" t="s">
        <v>454</v>
      </c>
      <c r="G87" t="s">
        <v>455</v>
      </c>
      <c r="H87" s="45" t="s">
        <v>454</v>
      </c>
      <c r="I87" s="45">
        <v>12.5</v>
      </c>
      <c r="J87" s="45">
        <v>16</v>
      </c>
      <c r="K87" s="45">
        <v>8</v>
      </c>
      <c r="L87" s="45">
        <v>6</v>
      </c>
      <c r="M87" s="45">
        <v>74</v>
      </c>
    </row>
    <row r="88" spans="2:13" ht="14.4" x14ac:dyDescent="0.3">
      <c r="B88" t="s">
        <v>426</v>
      </c>
      <c r="C88" t="s">
        <v>427</v>
      </c>
      <c r="D88" t="s">
        <v>428</v>
      </c>
      <c r="E88" t="s">
        <v>456</v>
      </c>
      <c r="F88" t="s">
        <v>457</v>
      </c>
      <c r="G88" t="s">
        <v>458</v>
      </c>
      <c r="H88" s="45" t="s">
        <v>457</v>
      </c>
      <c r="I88" s="45">
        <v>14</v>
      </c>
      <c r="J88" s="45">
        <v>17.5</v>
      </c>
      <c r="K88" s="45">
        <v>9.5</v>
      </c>
      <c r="L88" s="45">
        <v>6</v>
      </c>
      <c r="M88" s="45">
        <v>76</v>
      </c>
    </row>
    <row r="89" spans="2:13" ht="14.4" x14ac:dyDescent="0.3">
      <c r="B89" t="s">
        <v>426</v>
      </c>
      <c r="C89" t="s">
        <v>427</v>
      </c>
      <c r="D89" t="s">
        <v>428</v>
      </c>
      <c r="E89" t="s">
        <v>459</v>
      </c>
      <c r="F89" t="s">
        <v>460</v>
      </c>
      <c r="G89" t="s">
        <v>461</v>
      </c>
      <c r="H89" s="45" t="s">
        <v>462</v>
      </c>
      <c r="I89" s="45">
        <v>10</v>
      </c>
      <c r="J89" s="45">
        <v>13</v>
      </c>
      <c r="K89" s="45">
        <v>5.5</v>
      </c>
      <c r="L89" s="45">
        <v>4</v>
      </c>
      <c r="M89" s="45">
        <v>68</v>
      </c>
    </row>
    <row r="90" spans="2:13" ht="14.4" x14ac:dyDescent="0.3">
      <c r="B90" t="s">
        <v>426</v>
      </c>
      <c r="C90" t="s">
        <v>427</v>
      </c>
      <c r="D90" t="s">
        <v>428</v>
      </c>
      <c r="E90" t="s">
        <v>463</v>
      </c>
      <c r="F90" t="s">
        <v>464</v>
      </c>
      <c r="G90" t="s">
        <v>465</v>
      </c>
      <c r="H90" s="45" t="s">
        <v>466</v>
      </c>
      <c r="I90" s="45">
        <v>11</v>
      </c>
      <c r="J90" s="45">
        <v>15</v>
      </c>
      <c r="K90" s="45">
        <v>10</v>
      </c>
      <c r="L90" s="45">
        <v>6</v>
      </c>
      <c r="M90" s="45">
        <v>72</v>
      </c>
    </row>
    <row r="91" spans="2:13" ht="14.4" x14ac:dyDescent="0.3">
      <c r="B91" t="s">
        <v>467</v>
      </c>
      <c r="C91" t="s">
        <v>468</v>
      </c>
      <c r="D91" t="s">
        <v>469</v>
      </c>
      <c r="E91" t="s">
        <v>470</v>
      </c>
      <c r="F91" t="s">
        <v>471</v>
      </c>
      <c r="G91" t="s">
        <v>472</v>
      </c>
      <c r="H91" s="45" t="s">
        <v>471</v>
      </c>
      <c r="I91" s="45">
        <v>8</v>
      </c>
      <c r="J91" s="45">
        <v>3</v>
      </c>
      <c r="K91" s="45">
        <v>3</v>
      </c>
      <c r="L91" s="45">
        <v>1</v>
      </c>
      <c r="M91" s="45">
        <v>52</v>
      </c>
    </row>
    <row r="92" spans="2:13" ht="14.4" x14ac:dyDescent="0.3">
      <c r="B92" t="s">
        <v>467</v>
      </c>
      <c r="C92" t="s">
        <v>468</v>
      </c>
      <c r="D92" t="s">
        <v>469</v>
      </c>
      <c r="E92" t="s">
        <v>473</v>
      </c>
      <c r="F92" t="s">
        <v>474</v>
      </c>
      <c r="G92" t="s">
        <v>475</v>
      </c>
      <c r="H92" s="45" t="s">
        <v>476</v>
      </c>
      <c r="I92" s="45">
        <v>10</v>
      </c>
      <c r="J92" s="45">
        <v>8</v>
      </c>
      <c r="K92" s="45">
        <v>5</v>
      </c>
      <c r="L92" s="45">
        <v>3</v>
      </c>
      <c r="M92" s="45">
        <v>64</v>
      </c>
    </row>
    <row r="93" spans="2:13" ht="14.4" x14ac:dyDescent="0.3">
      <c r="B93" t="s">
        <v>467</v>
      </c>
      <c r="C93" t="s">
        <v>468</v>
      </c>
      <c r="D93" t="s">
        <v>469</v>
      </c>
      <c r="E93" t="s">
        <v>477</v>
      </c>
      <c r="F93" t="s">
        <v>478</v>
      </c>
      <c r="G93" t="s">
        <v>479</v>
      </c>
      <c r="H93" s="45" t="s">
        <v>478</v>
      </c>
      <c r="I93" s="45">
        <v>8.5</v>
      </c>
      <c r="J93" s="45">
        <v>7</v>
      </c>
      <c r="K93" s="45">
        <v>5</v>
      </c>
      <c r="L93" s="45">
        <v>3</v>
      </c>
      <c r="M93" s="45">
        <v>62</v>
      </c>
    </row>
    <row r="94" spans="2:13" ht="14.4" x14ac:dyDescent="0.3">
      <c r="B94" t="s">
        <v>467</v>
      </c>
      <c r="C94" t="s">
        <v>468</v>
      </c>
      <c r="D94" t="s">
        <v>469</v>
      </c>
      <c r="E94" t="s">
        <v>480</v>
      </c>
      <c r="F94" t="s">
        <v>481</v>
      </c>
      <c r="G94" t="s">
        <v>482</v>
      </c>
      <c r="H94" s="45" t="s">
        <v>481</v>
      </c>
      <c r="I94" s="45">
        <v>10</v>
      </c>
      <c r="J94" s="45">
        <v>12</v>
      </c>
      <c r="K94" s="45">
        <v>5</v>
      </c>
      <c r="L94" s="45">
        <v>3</v>
      </c>
      <c r="M94" s="45">
        <v>68</v>
      </c>
    </row>
    <row r="95" spans="2:13" ht="14.4" x14ac:dyDescent="0.3">
      <c r="B95" t="s">
        <v>467</v>
      </c>
      <c r="C95" t="s">
        <v>468</v>
      </c>
      <c r="D95" t="s">
        <v>469</v>
      </c>
      <c r="E95" t="s">
        <v>483</v>
      </c>
      <c r="F95" t="s">
        <v>484</v>
      </c>
      <c r="G95" t="s">
        <v>485</v>
      </c>
      <c r="H95" s="45" t="s">
        <v>484</v>
      </c>
      <c r="I95" s="45">
        <v>9</v>
      </c>
      <c r="J95" s="45">
        <v>9</v>
      </c>
      <c r="K95" s="45">
        <v>4.5</v>
      </c>
      <c r="L95" s="45">
        <v>2</v>
      </c>
      <c r="M95" s="45">
        <v>62</v>
      </c>
    </row>
    <row r="96" spans="2:13" ht="14.4" x14ac:dyDescent="0.3">
      <c r="B96" t="s">
        <v>467</v>
      </c>
      <c r="C96" t="s">
        <v>468</v>
      </c>
      <c r="D96" t="s">
        <v>469</v>
      </c>
      <c r="E96" t="s">
        <v>486</v>
      </c>
      <c r="F96" t="s">
        <v>487</v>
      </c>
      <c r="G96" t="s">
        <v>488</v>
      </c>
      <c r="H96" s="45" t="s">
        <v>487</v>
      </c>
      <c r="I96" s="45">
        <v>9</v>
      </c>
      <c r="J96" s="45">
        <v>9.5</v>
      </c>
      <c r="K96" s="45">
        <v>5</v>
      </c>
      <c r="L96" s="45">
        <v>3</v>
      </c>
      <c r="M96" s="45">
        <v>64</v>
      </c>
    </row>
    <row r="97" spans="2:13" ht="14.4" x14ac:dyDescent="0.3">
      <c r="B97" t="s">
        <v>467</v>
      </c>
      <c r="C97" t="s">
        <v>468</v>
      </c>
      <c r="D97" t="s">
        <v>469</v>
      </c>
      <c r="E97" t="s">
        <v>489</v>
      </c>
      <c r="F97" t="s">
        <v>490</v>
      </c>
      <c r="G97" t="s">
        <v>491</v>
      </c>
      <c r="H97" s="45" t="s">
        <v>490</v>
      </c>
      <c r="I97" s="45">
        <v>8.5</v>
      </c>
      <c r="J97" s="45">
        <v>8.5</v>
      </c>
      <c r="K97" s="45">
        <v>4.5</v>
      </c>
      <c r="L97" s="45">
        <v>3</v>
      </c>
      <c r="M97" s="45">
        <v>62</v>
      </c>
    </row>
    <row r="98" spans="2:13" ht="14.4" x14ac:dyDescent="0.3">
      <c r="B98" t="s">
        <v>467</v>
      </c>
      <c r="C98" t="s">
        <v>468</v>
      </c>
      <c r="D98" t="s">
        <v>469</v>
      </c>
      <c r="E98" t="s">
        <v>492</v>
      </c>
      <c r="F98" t="s">
        <v>493</v>
      </c>
      <c r="G98" t="s">
        <v>494</v>
      </c>
      <c r="H98" s="45" t="s">
        <v>495</v>
      </c>
      <c r="I98" s="45">
        <v>11</v>
      </c>
      <c r="J98" s="45">
        <v>14</v>
      </c>
      <c r="K98" s="45">
        <v>15</v>
      </c>
      <c r="L98" s="45">
        <v>10</v>
      </c>
      <c r="M98" s="45">
        <v>74</v>
      </c>
    </row>
    <row r="99" spans="2:13" ht="14.4" x14ac:dyDescent="0.3">
      <c r="B99" t="s">
        <v>467</v>
      </c>
      <c r="C99" t="s">
        <v>468</v>
      </c>
      <c r="D99" t="s">
        <v>469</v>
      </c>
      <c r="E99" t="s">
        <v>496</v>
      </c>
      <c r="F99" t="s">
        <v>497</v>
      </c>
      <c r="G99" t="s">
        <v>498</v>
      </c>
      <c r="H99" s="45" t="s">
        <v>497</v>
      </c>
      <c r="I99" s="45">
        <v>12</v>
      </c>
      <c r="J99" s="45">
        <v>18</v>
      </c>
      <c r="K99" s="45">
        <v>14</v>
      </c>
      <c r="L99" s="45">
        <v>10</v>
      </c>
      <c r="M99" s="45">
        <v>76</v>
      </c>
    </row>
    <row r="100" spans="2:13" ht="14.4" x14ac:dyDescent="0.3">
      <c r="B100" t="s">
        <v>467</v>
      </c>
      <c r="C100" t="s">
        <v>468</v>
      </c>
      <c r="D100" t="s">
        <v>469</v>
      </c>
      <c r="E100" t="s">
        <v>499</v>
      </c>
      <c r="F100" t="s">
        <v>500</v>
      </c>
      <c r="G100" t="s">
        <v>501</v>
      </c>
      <c r="H100" s="45" t="s">
        <v>500</v>
      </c>
      <c r="I100" s="45">
        <v>10</v>
      </c>
      <c r="J100" s="45">
        <v>8</v>
      </c>
      <c r="K100" s="45">
        <v>6.5</v>
      </c>
      <c r="L100" s="45">
        <v>4</v>
      </c>
      <c r="M100" s="45">
        <v>66</v>
      </c>
    </row>
    <row r="101" spans="2:13" ht="14.4" x14ac:dyDescent="0.3">
      <c r="B101" t="s">
        <v>467</v>
      </c>
      <c r="C101" t="s">
        <v>468</v>
      </c>
      <c r="D101" t="s">
        <v>469</v>
      </c>
      <c r="E101" t="s">
        <v>502</v>
      </c>
      <c r="F101" t="s">
        <v>503</v>
      </c>
      <c r="G101" t="s">
        <v>504</v>
      </c>
      <c r="H101" s="45" t="s">
        <v>503</v>
      </c>
      <c r="I101" s="45">
        <v>9.5</v>
      </c>
      <c r="J101" s="45">
        <v>13</v>
      </c>
      <c r="K101" s="45">
        <v>6</v>
      </c>
      <c r="L101" s="45">
        <v>4</v>
      </c>
      <c r="M101" s="45">
        <v>68</v>
      </c>
    </row>
    <row r="102" spans="2:13" ht="14.4" x14ac:dyDescent="0.3">
      <c r="B102" t="s">
        <v>467</v>
      </c>
      <c r="C102" t="s">
        <v>468</v>
      </c>
      <c r="D102" t="s">
        <v>469</v>
      </c>
      <c r="E102" t="s">
        <v>505</v>
      </c>
      <c r="F102" t="s">
        <v>506</v>
      </c>
      <c r="G102" t="s">
        <v>507</v>
      </c>
      <c r="H102" s="45" t="s">
        <v>506</v>
      </c>
      <c r="I102" s="45">
        <v>9</v>
      </c>
      <c r="J102" s="45">
        <v>10</v>
      </c>
      <c r="K102" s="45">
        <v>4</v>
      </c>
      <c r="L102" s="45">
        <v>2</v>
      </c>
      <c r="M102" s="45">
        <v>62</v>
      </c>
    </row>
    <row r="103" spans="2:13" ht="14.4" x14ac:dyDescent="0.3">
      <c r="B103" t="s">
        <v>508</v>
      </c>
      <c r="C103" t="s">
        <v>509</v>
      </c>
      <c r="D103" t="s">
        <v>510</v>
      </c>
      <c r="E103" t="s">
        <v>511</v>
      </c>
      <c r="F103" t="s">
        <v>512</v>
      </c>
      <c r="G103" t="s">
        <v>513</v>
      </c>
      <c r="H103" s="45" t="s">
        <v>512</v>
      </c>
      <c r="I103" s="45">
        <v>10</v>
      </c>
      <c r="J103" s="45">
        <v>15</v>
      </c>
      <c r="K103" s="45">
        <v>7.5</v>
      </c>
      <c r="L103" s="45">
        <v>5</v>
      </c>
      <c r="M103" s="45">
        <v>72</v>
      </c>
    </row>
    <row r="104" spans="2:13" ht="14.4" x14ac:dyDescent="0.3">
      <c r="B104" t="s">
        <v>508</v>
      </c>
      <c r="C104" t="s">
        <v>509</v>
      </c>
      <c r="D104" t="s">
        <v>510</v>
      </c>
      <c r="E104" t="s">
        <v>514</v>
      </c>
      <c r="F104" t="s">
        <v>515</v>
      </c>
      <c r="G104" t="s">
        <v>516</v>
      </c>
      <c r="H104" s="45" t="s">
        <v>515</v>
      </c>
      <c r="I104" s="45">
        <v>9</v>
      </c>
      <c r="J104" s="45">
        <v>20</v>
      </c>
      <c r="K104" s="45">
        <v>6.5</v>
      </c>
      <c r="L104" s="45">
        <v>4</v>
      </c>
      <c r="M104" s="45">
        <v>72</v>
      </c>
    </row>
    <row r="105" spans="2:13" ht="14.4" x14ac:dyDescent="0.3">
      <c r="B105" t="s">
        <v>508</v>
      </c>
      <c r="C105" t="s">
        <v>509</v>
      </c>
      <c r="D105" t="s">
        <v>510</v>
      </c>
      <c r="E105" t="s">
        <v>517</v>
      </c>
      <c r="F105" t="s">
        <v>518</v>
      </c>
      <c r="G105" t="s">
        <v>519</v>
      </c>
      <c r="H105" s="45" t="s">
        <v>518</v>
      </c>
      <c r="I105" s="45">
        <v>8.5</v>
      </c>
      <c r="J105" s="45">
        <v>16</v>
      </c>
      <c r="K105" s="45">
        <v>6</v>
      </c>
      <c r="L105" s="45">
        <v>4</v>
      </c>
      <c r="M105" s="45">
        <v>70</v>
      </c>
    </row>
    <row r="106" spans="2:13" ht="14.4" x14ac:dyDescent="0.3">
      <c r="B106" t="s">
        <v>508</v>
      </c>
      <c r="C106" t="s">
        <v>509</v>
      </c>
      <c r="D106" t="s">
        <v>510</v>
      </c>
      <c r="E106" t="s">
        <v>520</v>
      </c>
      <c r="F106" t="s">
        <v>521</v>
      </c>
      <c r="G106" t="s">
        <v>522</v>
      </c>
      <c r="H106" s="45" t="s">
        <v>521</v>
      </c>
      <c r="I106" s="45">
        <v>11</v>
      </c>
      <c r="J106" s="45">
        <v>17</v>
      </c>
      <c r="K106" s="45">
        <v>7.5</v>
      </c>
      <c r="L106" s="45">
        <v>5</v>
      </c>
      <c r="M106" s="45">
        <v>74</v>
      </c>
    </row>
    <row r="107" spans="2:13" ht="14.4" x14ac:dyDescent="0.3">
      <c r="B107" t="s">
        <v>508</v>
      </c>
      <c r="C107" t="s">
        <v>509</v>
      </c>
      <c r="D107" t="s">
        <v>510</v>
      </c>
      <c r="E107" t="s">
        <v>523</v>
      </c>
      <c r="F107" t="s">
        <v>524</v>
      </c>
      <c r="G107" t="s">
        <v>525</v>
      </c>
      <c r="H107" s="45" t="s">
        <v>524</v>
      </c>
      <c r="I107" s="45">
        <v>8.5</v>
      </c>
      <c r="J107" s="45">
        <v>16</v>
      </c>
      <c r="K107" s="45">
        <v>7</v>
      </c>
      <c r="L107" s="45">
        <v>5</v>
      </c>
      <c r="M107" s="45">
        <v>70</v>
      </c>
    </row>
    <row r="108" spans="2:13" ht="14.4" x14ac:dyDescent="0.3">
      <c r="B108" t="s">
        <v>508</v>
      </c>
      <c r="C108" t="s">
        <v>509</v>
      </c>
      <c r="D108" t="s">
        <v>510</v>
      </c>
      <c r="E108" t="s">
        <v>526</v>
      </c>
      <c r="F108" t="s">
        <v>527</v>
      </c>
      <c r="G108" t="s">
        <v>528</v>
      </c>
      <c r="H108" s="45" t="s">
        <v>527</v>
      </c>
      <c r="I108" s="45">
        <v>9</v>
      </c>
      <c r="J108" s="45">
        <v>13</v>
      </c>
      <c r="K108" s="45">
        <v>8</v>
      </c>
      <c r="L108" s="45">
        <v>5</v>
      </c>
      <c r="M108" s="45">
        <v>70</v>
      </c>
    </row>
    <row r="109" spans="2:13" ht="14.4" x14ac:dyDescent="0.3">
      <c r="B109" t="s">
        <v>508</v>
      </c>
      <c r="C109" t="s">
        <v>509</v>
      </c>
      <c r="D109" t="s">
        <v>510</v>
      </c>
      <c r="E109" t="s">
        <v>529</v>
      </c>
      <c r="F109" t="s">
        <v>530</v>
      </c>
      <c r="G109" t="s">
        <v>531</v>
      </c>
      <c r="H109" s="45" t="s">
        <v>530</v>
      </c>
      <c r="I109" s="45">
        <v>9</v>
      </c>
      <c r="J109" s="45">
        <v>14</v>
      </c>
      <c r="K109" s="45">
        <v>9</v>
      </c>
      <c r="L109" s="45">
        <v>6</v>
      </c>
      <c r="M109" s="45">
        <v>72</v>
      </c>
    </row>
    <row r="110" spans="2:13" ht="14.4" x14ac:dyDescent="0.3">
      <c r="B110" t="s">
        <v>508</v>
      </c>
      <c r="C110" t="s">
        <v>509</v>
      </c>
      <c r="D110" t="s">
        <v>510</v>
      </c>
      <c r="E110" t="s">
        <v>532</v>
      </c>
      <c r="F110" t="s">
        <v>533</v>
      </c>
      <c r="G110" t="s">
        <v>534</v>
      </c>
      <c r="H110" s="45" t="s">
        <v>533</v>
      </c>
      <c r="I110" s="45">
        <v>15</v>
      </c>
      <c r="J110" s="45">
        <v>18.5</v>
      </c>
      <c r="K110" s="45">
        <v>8.5</v>
      </c>
      <c r="L110" s="45">
        <v>6</v>
      </c>
      <c r="M110" s="45">
        <v>78</v>
      </c>
    </row>
    <row r="111" spans="2:13" ht="14.4" x14ac:dyDescent="0.3">
      <c r="B111" t="s">
        <v>508</v>
      </c>
      <c r="C111" t="s">
        <v>509</v>
      </c>
      <c r="D111" t="s">
        <v>510</v>
      </c>
      <c r="E111" t="s">
        <v>535</v>
      </c>
      <c r="F111" t="s">
        <v>536</v>
      </c>
      <c r="G111" t="s">
        <v>537</v>
      </c>
      <c r="H111" s="45" t="s">
        <v>536</v>
      </c>
      <c r="I111" s="45">
        <v>15</v>
      </c>
      <c r="J111" s="45">
        <v>28.5</v>
      </c>
      <c r="K111" s="45">
        <v>7.5</v>
      </c>
      <c r="L111" s="45">
        <v>5</v>
      </c>
      <c r="M111" s="45">
        <v>80</v>
      </c>
    </row>
    <row r="112" spans="2:13" ht="14.4" x14ac:dyDescent="0.3">
      <c r="B112" t="s">
        <v>508</v>
      </c>
      <c r="C112" t="s">
        <v>509</v>
      </c>
      <c r="D112" t="s">
        <v>510</v>
      </c>
      <c r="E112" t="s">
        <v>538</v>
      </c>
      <c r="F112" t="s">
        <v>539</v>
      </c>
      <c r="G112" t="s">
        <v>540</v>
      </c>
      <c r="H112" s="45" t="s">
        <v>539</v>
      </c>
      <c r="I112" s="45">
        <v>12</v>
      </c>
      <c r="J112" s="45">
        <v>20</v>
      </c>
      <c r="K112" s="45">
        <v>9</v>
      </c>
      <c r="L112" s="45">
        <v>6</v>
      </c>
      <c r="M112" s="45">
        <v>76</v>
      </c>
    </row>
    <row r="113" spans="2:13" ht="14.4" x14ac:dyDescent="0.3">
      <c r="B113" t="s">
        <v>508</v>
      </c>
      <c r="C113" t="s">
        <v>509</v>
      </c>
      <c r="D113" t="s">
        <v>510</v>
      </c>
      <c r="E113" t="s">
        <v>541</v>
      </c>
      <c r="F113" t="s">
        <v>542</v>
      </c>
      <c r="G113" t="s">
        <v>543</v>
      </c>
      <c r="H113" s="45" t="s">
        <v>542</v>
      </c>
      <c r="I113" s="45">
        <v>15</v>
      </c>
      <c r="J113" s="45">
        <v>23</v>
      </c>
      <c r="K113" s="45">
        <v>15</v>
      </c>
      <c r="L113" s="45">
        <v>10</v>
      </c>
      <c r="M113" s="45">
        <v>82</v>
      </c>
    </row>
    <row r="114" spans="2:13" ht="14.4" x14ac:dyDescent="0.3">
      <c r="B114" t="s">
        <v>508</v>
      </c>
      <c r="C114" t="s">
        <v>509</v>
      </c>
      <c r="D114" t="s">
        <v>510</v>
      </c>
      <c r="E114" t="s">
        <v>544</v>
      </c>
      <c r="F114" t="s">
        <v>545</v>
      </c>
      <c r="G114" t="s">
        <v>546</v>
      </c>
      <c r="H114" s="45" t="s">
        <v>545</v>
      </c>
      <c r="I114" s="45">
        <v>10</v>
      </c>
      <c r="J114" s="45">
        <v>17</v>
      </c>
      <c r="K114" s="45">
        <v>8</v>
      </c>
      <c r="L114" s="45">
        <v>6</v>
      </c>
      <c r="M114" s="45">
        <v>74</v>
      </c>
    </row>
    <row r="115" spans="2:13" ht="14.4" x14ac:dyDescent="0.3">
      <c r="B115" t="s">
        <v>547</v>
      </c>
      <c r="C115" t="s">
        <v>548</v>
      </c>
      <c r="D115" t="s">
        <v>549</v>
      </c>
      <c r="E115" t="s">
        <v>550</v>
      </c>
      <c r="F115" t="s">
        <v>551</v>
      </c>
      <c r="G115" t="s">
        <v>552</v>
      </c>
      <c r="H115" s="45" t="s">
        <v>551</v>
      </c>
      <c r="I115" s="45">
        <v>8</v>
      </c>
      <c r="J115" s="45">
        <v>20</v>
      </c>
      <c r="K115" s="45">
        <v>5</v>
      </c>
      <c r="L115" s="45">
        <v>3</v>
      </c>
      <c r="M115" s="45">
        <v>68</v>
      </c>
    </row>
    <row r="116" spans="2:13" ht="14.4" x14ac:dyDescent="0.3">
      <c r="B116" t="s">
        <v>547</v>
      </c>
      <c r="C116" t="s">
        <v>548</v>
      </c>
      <c r="D116" t="s">
        <v>549</v>
      </c>
      <c r="E116" t="s">
        <v>553</v>
      </c>
      <c r="F116" t="s">
        <v>554</v>
      </c>
      <c r="G116" t="s">
        <v>555</v>
      </c>
      <c r="H116" s="45" t="s">
        <v>554</v>
      </c>
      <c r="I116" s="45">
        <v>8.5</v>
      </c>
      <c r="J116" s="45">
        <v>22</v>
      </c>
      <c r="K116" s="45">
        <v>5.5</v>
      </c>
      <c r="L116" s="45">
        <v>3</v>
      </c>
      <c r="M116" s="45">
        <v>70</v>
      </c>
    </row>
    <row r="117" spans="2:13" ht="14.4" x14ac:dyDescent="0.3">
      <c r="B117" t="s">
        <v>547</v>
      </c>
      <c r="C117" t="s">
        <v>548</v>
      </c>
      <c r="D117" t="s">
        <v>549</v>
      </c>
      <c r="E117" t="s">
        <v>556</v>
      </c>
      <c r="F117" t="s">
        <v>557</v>
      </c>
      <c r="G117" t="s">
        <v>558</v>
      </c>
      <c r="H117" s="45" t="s">
        <v>557</v>
      </c>
      <c r="I117" s="45">
        <v>9.5</v>
      </c>
      <c r="J117" s="45">
        <v>18</v>
      </c>
      <c r="K117" s="45">
        <v>7</v>
      </c>
      <c r="L117" s="45">
        <v>5</v>
      </c>
      <c r="M117" s="45">
        <v>72</v>
      </c>
    </row>
    <row r="118" spans="2:13" ht="14.4" x14ac:dyDescent="0.3">
      <c r="B118" t="s">
        <v>547</v>
      </c>
      <c r="C118" t="s">
        <v>548</v>
      </c>
      <c r="D118" t="s">
        <v>549</v>
      </c>
      <c r="E118" t="s">
        <v>559</v>
      </c>
      <c r="F118" t="s">
        <v>560</v>
      </c>
      <c r="G118" t="s">
        <v>561</v>
      </c>
      <c r="H118" s="45" t="s">
        <v>560</v>
      </c>
      <c r="I118" s="45">
        <v>8</v>
      </c>
      <c r="J118" s="45">
        <v>11</v>
      </c>
      <c r="K118" s="45">
        <v>6.5</v>
      </c>
      <c r="L118" s="45">
        <v>4</v>
      </c>
      <c r="M118" s="45">
        <v>66</v>
      </c>
    </row>
    <row r="119" spans="2:13" ht="14.4" x14ac:dyDescent="0.3">
      <c r="B119" t="s">
        <v>547</v>
      </c>
      <c r="C119" t="s">
        <v>548</v>
      </c>
      <c r="D119" t="s">
        <v>549</v>
      </c>
      <c r="E119" t="s">
        <v>562</v>
      </c>
      <c r="F119" t="s">
        <v>563</v>
      </c>
      <c r="G119" t="s">
        <v>564</v>
      </c>
      <c r="H119" s="45" t="s">
        <v>563</v>
      </c>
      <c r="I119" s="45">
        <v>7</v>
      </c>
      <c r="J119" s="45">
        <v>14</v>
      </c>
      <c r="K119" s="45">
        <v>5</v>
      </c>
      <c r="L119" s="45">
        <v>3</v>
      </c>
      <c r="M119" s="45">
        <v>64</v>
      </c>
    </row>
    <row r="120" spans="2:13" ht="14.4" x14ac:dyDescent="0.3">
      <c r="B120" t="s">
        <v>547</v>
      </c>
      <c r="C120" t="s">
        <v>548</v>
      </c>
      <c r="D120" t="s">
        <v>549</v>
      </c>
      <c r="E120" t="s">
        <v>565</v>
      </c>
      <c r="F120" t="s">
        <v>566</v>
      </c>
      <c r="G120" t="s">
        <v>567</v>
      </c>
      <c r="H120" s="45" t="s">
        <v>566</v>
      </c>
      <c r="I120" s="45">
        <v>7.5</v>
      </c>
      <c r="J120" s="45">
        <v>12</v>
      </c>
      <c r="K120" s="45">
        <v>5.5</v>
      </c>
      <c r="L120" s="45">
        <v>4</v>
      </c>
      <c r="M120" s="45">
        <v>66</v>
      </c>
    </row>
    <row r="121" spans="2:13" ht="14.4" x14ac:dyDescent="0.3">
      <c r="B121" t="s">
        <v>547</v>
      </c>
      <c r="C121" t="s">
        <v>548</v>
      </c>
      <c r="D121" t="s">
        <v>549</v>
      </c>
      <c r="E121" t="s">
        <v>568</v>
      </c>
      <c r="F121" t="s">
        <v>569</v>
      </c>
      <c r="G121" t="s">
        <v>570</v>
      </c>
      <c r="H121" s="45" t="s">
        <v>569</v>
      </c>
      <c r="I121" s="45">
        <v>9.5</v>
      </c>
      <c r="J121" s="45">
        <v>16</v>
      </c>
      <c r="K121" s="45">
        <v>8</v>
      </c>
      <c r="L121" s="45">
        <v>5</v>
      </c>
      <c r="M121" s="45">
        <v>70</v>
      </c>
    </row>
    <row r="122" spans="2:13" ht="14.4" x14ac:dyDescent="0.3">
      <c r="B122" t="s">
        <v>547</v>
      </c>
      <c r="C122" t="s">
        <v>548</v>
      </c>
      <c r="D122" t="s">
        <v>549</v>
      </c>
      <c r="E122" t="s">
        <v>571</v>
      </c>
      <c r="F122" t="s">
        <v>572</v>
      </c>
      <c r="G122" t="s">
        <v>573</v>
      </c>
      <c r="H122" s="45" t="s">
        <v>572</v>
      </c>
      <c r="I122" s="45">
        <v>9</v>
      </c>
      <c r="J122" s="45">
        <v>18</v>
      </c>
      <c r="K122" s="45">
        <v>9</v>
      </c>
      <c r="L122" s="45">
        <v>6</v>
      </c>
      <c r="M122" s="45">
        <v>72</v>
      </c>
    </row>
    <row r="123" spans="2:13" ht="14.4" x14ac:dyDescent="0.3">
      <c r="B123" t="s">
        <v>547</v>
      </c>
      <c r="C123" t="s">
        <v>548</v>
      </c>
      <c r="D123" t="s">
        <v>549</v>
      </c>
      <c r="E123" t="s">
        <v>574</v>
      </c>
      <c r="F123" t="s">
        <v>575</v>
      </c>
      <c r="G123" t="s">
        <v>576</v>
      </c>
      <c r="H123" s="45" t="s">
        <v>575</v>
      </c>
      <c r="I123" s="45">
        <v>9</v>
      </c>
      <c r="J123" s="45">
        <v>13</v>
      </c>
      <c r="K123" s="45">
        <v>7.5</v>
      </c>
      <c r="L123" s="45">
        <v>5</v>
      </c>
      <c r="M123" s="45">
        <v>70</v>
      </c>
    </row>
    <row r="124" spans="2:13" ht="14.4" x14ac:dyDescent="0.3">
      <c r="B124" t="s">
        <v>547</v>
      </c>
      <c r="C124" t="s">
        <v>548</v>
      </c>
      <c r="D124" t="s">
        <v>549</v>
      </c>
      <c r="E124" t="s">
        <v>577</v>
      </c>
      <c r="F124" t="s">
        <v>578</v>
      </c>
      <c r="G124" t="s">
        <v>579</v>
      </c>
      <c r="H124" s="45" t="s">
        <v>578</v>
      </c>
      <c r="I124" s="45">
        <v>8.5</v>
      </c>
      <c r="J124" s="45">
        <v>14</v>
      </c>
      <c r="K124" s="45">
        <v>6</v>
      </c>
      <c r="L124" s="45">
        <v>4</v>
      </c>
      <c r="M124" s="45">
        <v>68</v>
      </c>
    </row>
    <row r="125" spans="2:13" ht="14.4" x14ac:dyDescent="0.3">
      <c r="B125" t="s">
        <v>547</v>
      </c>
      <c r="C125" t="s">
        <v>548</v>
      </c>
      <c r="D125" t="s">
        <v>549</v>
      </c>
      <c r="E125" t="s">
        <v>580</v>
      </c>
      <c r="F125" t="s">
        <v>581</v>
      </c>
      <c r="G125" t="s">
        <v>582</v>
      </c>
      <c r="H125" s="45" t="s">
        <v>583</v>
      </c>
      <c r="I125" s="45">
        <v>11.5</v>
      </c>
      <c r="J125" s="45">
        <v>18</v>
      </c>
      <c r="K125" s="45">
        <v>15</v>
      </c>
      <c r="L125" s="45">
        <v>10</v>
      </c>
      <c r="M125" s="45">
        <v>78</v>
      </c>
    </row>
    <row r="126" spans="2:13" ht="14.4" x14ac:dyDescent="0.3">
      <c r="B126" t="s">
        <v>547</v>
      </c>
      <c r="C126" t="s">
        <v>548</v>
      </c>
      <c r="D126" t="s">
        <v>549</v>
      </c>
      <c r="E126" t="s">
        <v>584</v>
      </c>
      <c r="F126" t="s">
        <v>585</v>
      </c>
      <c r="G126" t="s">
        <v>586</v>
      </c>
      <c r="H126" s="45" t="s">
        <v>585</v>
      </c>
      <c r="I126" s="45">
        <v>8.5</v>
      </c>
      <c r="J126" s="45">
        <v>13</v>
      </c>
      <c r="K126" s="45">
        <v>7</v>
      </c>
      <c r="L126" s="45">
        <v>5</v>
      </c>
      <c r="M126" s="45">
        <v>68</v>
      </c>
    </row>
    <row r="127" spans="2:13" ht="14.4" x14ac:dyDescent="0.3">
      <c r="B127" t="s">
        <v>587</v>
      </c>
      <c r="C127" t="s">
        <v>588</v>
      </c>
      <c r="D127" t="s">
        <v>589</v>
      </c>
      <c r="E127" t="s">
        <v>590</v>
      </c>
      <c r="F127" t="s">
        <v>591</v>
      </c>
      <c r="G127" t="s">
        <v>592</v>
      </c>
      <c r="H127" s="45" t="s">
        <v>591</v>
      </c>
      <c r="I127" s="45">
        <v>13</v>
      </c>
      <c r="J127" s="45">
        <v>30</v>
      </c>
      <c r="K127" s="45">
        <v>8.5</v>
      </c>
      <c r="L127" s="45">
        <v>6</v>
      </c>
      <c r="M127" s="45">
        <v>78</v>
      </c>
    </row>
    <row r="128" spans="2:13" ht="14.4" x14ac:dyDescent="0.3">
      <c r="B128" t="s">
        <v>587</v>
      </c>
      <c r="C128" t="s">
        <v>588</v>
      </c>
      <c r="D128" t="s">
        <v>589</v>
      </c>
      <c r="E128" t="s">
        <v>593</v>
      </c>
      <c r="F128" t="s">
        <v>594</v>
      </c>
      <c r="G128" t="s">
        <v>595</v>
      </c>
      <c r="H128" s="45" t="s">
        <v>594</v>
      </c>
      <c r="I128" s="45">
        <v>12.5</v>
      </c>
      <c r="J128" s="45">
        <v>24</v>
      </c>
      <c r="K128" s="45">
        <v>7.5</v>
      </c>
      <c r="L128" s="45">
        <v>5</v>
      </c>
      <c r="M128" s="45">
        <v>76</v>
      </c>
    </row>
    <row r="129" spans="2:13" ht="14.4" x14ac:dyDescent="0.3">
      <c r="B129" t="s">
        <v>587</v>
      </c>
      <c r="C129" t="s">
        <v>588</v>
      </c>
      <c r="D129" t="s">
        <v>589</v>
      </c>
      <c r="E129" t="s">
        <v>596</v>
      </c>
      <c r="F129" t="s">
        <v>597</v>
      </c>
      <c r="G129" t="s">
        <v>597</v>
      </c>
      <c r="H129" s="45" t="s">
        <v>597</v>
      </c>
      <c r="I129" s="45">
        <v>10</v>
      </c>
      <c r="J129" s="45">
        <v>21.5</v>
      </c>
      <c r="K129" s="45">
        <v>6.5</v>
      </c>
      <c r="L129" s="45">
        <v>4</v>
      </c>
      <c r="M129" s="45">
        <v>72</v>
      </c>
    </row>
    <row r="130" spans="2:13" ht="14.4" x14ac:dyDescent="0.3">
      <c r="B130" t="s">
        <v>587</v>
      </c>
      <c r="C130" t="s">
        <v>588</v>
      </c>
      <c r="D130" t="s">
        <v>589</v>
      </c>
      <c r="E130" t="s">
        <v>598</v>
      </c>
      <c r="F130" t="s">
        <v>599</v>
      </c>
      <c r="G130" t="s">
        <v>600</v>
      </c>
      <c r="H130" s="45" t="s">
        <v>599</v>
      </c>
      <c r="I130" s="45">
        <v>12</v>
      </c>
      <c r="J130" s="45">
        <v>22</v>
      </c>
      <c r="K130" s="45">
        <v>12</v>
      </c>
      <c r="L130" s="45">
        <v>8</v>
      </c>
      <c r="M130" s="45">
        <v>78</v>
      </c>
    </row>
    <row r="131" spans="2:13" ht="14.4" x14ac:dyDescent="0.3">
      <c r="B131" t="s">
        <v>587</v>
      </c>
      <c r="C131" t="s">
        <v>588</v>
      </c>
      <c r="D131" t="s">
        <v>589</v>
      </c>
      <c r="E131" t="s">
        <v>601</v>
      </c>
      <c r="F131" t="s">
        <v>602</v>
      </c>
      <c r="G131" t="s">
        <v>603</v>
      </c>
      <c r="H131" s="45" t="s">
        <v>602</v>
      </c>
      <c r="I131" s="45">
        <v>11</v>
      </c>
      <c r="J131" s="45">
        <v>20</v>
      </c>
      <c r="K131" s="45">
        <v>14</v>
      </c>
      <c r="L131" s="45">
        <v>10</v>
      </c>
      <c r="M131" s="45">
        <v>78</v>
      </c>
    </row>
    <row r="132" spans="2:13" ht="14.4" x14ac:dyDescent="0.3">
      <c r="B132" t="s">
        <v>587</v>
      </c>
      <c r="C132" t="s">
        <v>588</v>
      </c>
      <c r="D132" t="s">
        <v>589</v>
      </c>
      <c r="E132" t="s">
        <v>604</v>
      </c>
      <c r="F132" t="s">
        <v>605</v>
      </c>
      <c r="G132" t="s">
        <v>606</v>
      </c>
      <c r="H132" s="45" t="s">
        <v>605</v>
      </c>
      <c r="I132" s="45">
        <v>10</v>
      </c>
      <c r="J132" s="45">
        <v>24</v>
      </c>
      <c r="K132" s="45">
        <v>6</v>
      </c>
      <c r="L132" s="45">
        <v>4</v>
      </c>
      <c r="M132" s="45">
        <v>72</v>
      </c>
    </row>
    <row r="133" spans="2:13" ht="14.4" x14ac:dyDescent="0.3">
      <c r="B133" t="s">
        <v>587</v>
      </c>
      <c r="C133" t="s">
        <v>588</v>
      </c>
      <c r="D133" t="s">
        <v>589</v>
      </c>
      <c r="E133" t="s">
        <v>607</v>
      </c>
      <c r="F133" t="s">
        <v>608</v>
      </c>
      <c r="G133" t="s">
        <v>609</v>
      </c>
      <c r="H133" s="45" t="s">
        <v>608</v>
      </c>
      <c r="I133" s="45">
        <v>11.5</v>
      </c>
      <c r="J133" s="45">
        <v>22</v>
      </c>
      <c r="K133" s="45">
        <v>8</v>
      </c>
      <c r="L133" s="45">
        <v>6</v>
      </c>
      <c r="M133" s="45">
        <v>76</v>
      </c>
    </row>
    <row r="134" spans="2:13" ht="14.4" x14ac:dyDescent="0.3">
      <c r="B134" t="s">
        <v>587</v>
      </c>
      <c r="C134" t="s">
        <v>588</v>
      </c>
      <c r="D134" t="s">
        <v>589</v>
      </c>
      <c r="E134" t="s">
        <v>610</v>
      </c>
      <c r="F134" t="s">
        <v>611</v>
      </c>
      <c r="G134" t="s">
        <v>612</v>
      </c>
      <c r="H134" s="45" t="s">
        <v>611</v>
      </c>
      <c r="I134" s="45">
        <v>8.5</v>
      </c>
      <c r="J134" s="45">
        <v>14</v>
      </c>
      <c r="K134" s="45">
        <v>5</v>
      </c>
      <c r="L134" s="45">
        <v>3</v>
      </c>
      <c r="M134" s="45">
        <v>66</v>
      </c>
    </row>
    <row r="135" spans="2:13" ht="14.4" x14ac:dyDescent="0.3">
      <c r="B135" t="s">
        <v>587</v>
      </c>
      <c r="C135" t="s">
        <v>588</v>
      </c>
      <c r="D135" t="s">
        <v>589</v>
      </c>
      <c r="E135" t="s">
        <v>613</v>
      </c>
      <c r="F135" t="s">
        <v>614</v>
      </c>
      <c r="G135" t="s">
        <v>615</v>
      </c>
      <c r="H135" s="45" t="s">
        <v>614</v>
      </c>
      <c r="I135" s="45">
        <v>15</v>
      </c>
      <c r="J135" s="45">
        <v>25</v>
      </c>
      <c r="K135" s="45">
        <v>18.5</v>
      </c>
      <c r="L135" s="45">
        <v>12</v>
      </c>
      <c r="M135" s="45">
        <v>84</v>
      </c>
    </row>
    <row r="136" spans="2:13" ht="14.4" x14ac:dyDescent="0.3">
      <c r="B136" t="s">
        <v>587</v>
      </c>
      <c r="C136" t="s">
        <v>588</v>
      </c>
      <c r="D136" t="s">
        <v>589</v>
      </c>
      <c r="E136" t="s">
        <v>616</v>
      </c>
      <c r="F136" t="s">
        <v>617</v>
      </c>
      <c r="G136" t="s">
        <v>618</v>
      </c>
      <c r="H136" s="45" t="s">
        <v>617</v>
      </c>
      <c r="I136" s="45">
        <v>10.5</v>
      </c>
      <c r="J136" s="45">
        <v>20</v>
      </c>
      <c r="K136" s="45">
        <v>7</v>
      </c>
      <c r="L136" s="45">
        <v>5</v>
      </c>
      <c r="M136" s="45">
        <v>74</v>
      </c>
    </row>
    <row r="137" spans="2:13" ht="14.4" x14ac:dyDescent="0.3">
      <c r="B137" t="s">
        <v>619</v>
      </c>
      <c r="C137" t="s">
        <v>620</v>
      </c>
      <c r="D137" t="s">
        <v>621</v>
      </c>
      <c r="E137" t="s">
        <v>622</v>
      </c>
      <c r="F137" t="s">
        <v>623</v>
      </c>
      <c r="G137" t="s">
        <v>624</v>
      </c>
      <c r="H137" s="45" t="s">
        <v>623</v>
      </c>
      <c r="I137" s="45">
        <v>10.5</v>
      </c>
      <c r="J137" s="45">
        <v>16</v>
      </c>
      <c r="K137" s="45">
        <v>10</v>
      </c>
      <c r="L137" s="45">
        <v>6</v>
      </c>
      <c r="M137" s="45">
        <v>72</v>
      </c>
    </row>
    <row r="138" spans="2:13" ht="14.4" x14ac:dyDescent="0.3">
      <c r="B138" t="s">
        <v>619</v>
      </c>
      <c r="C138" t="s">
        <v>620</v>
      </c>
      <c r="D138" t="s">
        <v>621</v>
      </c>
      <c r="E138" t="s">
        <v>625</v>
      </c>
      <c r="F138" t="s">
        <v>626</v>
      </c>
      <c r="G138" t="s">
        <v>627</v>
      </c>
      <c r="H138" s="45" t="s">
        <v>626</v>
      </c>
      <c r="I138" s="45">
        <v>9.5</v>
      </c>
      <c r="J138" s="45">
        <v>14</v>
      </c>
      <c r="K138" s="45">
        <v>5.5</v>
      </c>
      <c r="L138" s="45">
        <v>4</v>
      </c>
      <c r="M138" s="45">
        <v>68</v>
      </c>
    </row>
    <row r="139" spans="2:13" ht="14.4" x14ac:dyDescent="0.3">
      <c r="B139" t="s">
        <v>619</v>
      </c>
      <c r="C139" t="s">
        <v>620</v>
      </c>
      <c r="D139" t="s">
        <v>621</v>
      </c>
      <c r="E139" t="s">
        <v>628</v>
      </c>
      <c r="F139" t="s">
        <v>629</v>
      </c>
      <c r="G139" t="s">
        <v>630</v>
      </c>
      <c r="H139" s="45" t="s">
        <v>631</v>
      </c>
      <c r="I139" s="45">
        <v>10</v>
      </c>
      <c r="J139" s="45">
        <v>15</v>
      </c>
      <c r="K139" s="45">
        <v>6.5</v>
      </c>
      <c r="L139" s="45">
        <v>4</v>
      </c>
      <c r="M139" s="45">
        <v>70</v>
      </c>
    </row>
    <row r="140" spans="2:13" ht="14.4" x14ac:dyDescent="0.3">
      <c r="B140" t="s">
        <v>619</v>
      </c>
      <c r="C140" t="s">
        <v>620</v>
      </c>
      <c r="D140" t="s">
        <v>621</v>
      </c>
      <c r="E140" t="s">
        <v>632</v>
      </c>
      <c r="F140" t="s">
        <v>633</v>
      </c>
      <c r="G140" t="s">
        <v>634</v>
      </c>
      <c r="H140" s="45" t="s">
        <v>635</v>
      </c>
      <c r="I140" s="45">
        <v>9</v>
      </c>
      <c r="J140" s="45">
        <v>14</v>
      </c>
      <c r="K140" s="45">
        <v>7</v>
      </c>
      <c r="L140" s="45">
        <v>5</v>
      </c>
      <c r="M140" s="45">
        <v>70</v>
      </c>
    </row>
    <row r="141" spans="2:13" ht="14.4" x14ac:dyDescent="0.3">
      <c r="B141" t="s">
        <v>619</v>
      </c>
      <c r="C141" t="s">
        <v>620</v>
      </c>
      <c r="D141" t="s">
        <v>621</v>
      </c>
      <c r="E141" t="s">
        <v>636</v>
      </c>
      <c r="F141" t="s">
        <v>637</v>
      </c>
      <c r="G141" t="s">
        <v>638</v>
      </c>
      <c r="H141" s="45" t="s">
        <v>637</v>
      </c>
      <c r="I141" s="45">
        <v>11.5</v>
      </c>
      <c r="J141" s="45">
        <v>24</v>
      </c>
      <c r="K141" s="45">
        <v>6.5</v>
      </c>
      <c r="L141" s="45">
        <v>4</v>
      </c>
      <c r="M141" s="45">
        <v>74</v>
      </c>
    </row>
    <row r="142" spans="2:13" ht="14.4" x14ac:dyDescent="0.3">
      <c r="B142" t="s">
        <v>619</v>
      </c>
      <c r="C142" t="s">
        <v>620</v>
      </c>
      <c r="D142" t="s">
        <v>621</v>
      </c>
      <c r="E142" t="s">
        <v>639</v>
      </c>
      <c r="F142" t="s">
        <v>640</v>
      </c>
      <c r="G142" t="s">
        <v>641</v>
      </c>
      <c r="H142" s="45" t="s">
        <v>640</v>
      </c>
      <c r="I142" s="45">
        <v>12.5</v>
      </c>
      <c r="J142" s="45">
        <v>18.5</v>
      </c>
      <c r="K142" s="45">
        <v>15</v>
      </c>
      <c r="L142" s="45">
        <v>10</v>
      </c>
      <c r="M142" s="45">
        <v>78</v>
      </c>
    </row>
    <row r="143" spans="2:13" ht="14.4" x14ac:dyDescent="0.3">
      <c r="B143" t="s">
        <v>619</v>
      </c>
      <c r="C143" t="s">
        <v>620</v>
      </c>
      <c r="D143" t="s">
        <v>621</v>
      </c>
      <c r="E143" t="s">
        <v>642</v>
      </c>
      <c r="F143" t="s">
        <v>643</v>
      </c>
      <c r="G143" t="s">
        <v>643</v>
      </c>
      <c r="H143" s="45" t="s">
        <v>643</v>
      </c>
      <c r="I143" s="45">
        <v>12</v>
      </c>
      <c r="J143" s="45">
        <v>22</v>
      </c>
      <c r="K143" s="45">
        <v>10</v>
      </c>
      <c r="L143" s="45">
        <v>7</v>
      </c>
      <c r="M143" s="45">
        <v>76</v>
      </c>
    </row>
    <row r="144" spans="2:13" ht="14.4" x14ac:dyDescent="0.3">
      <c r="B144" t="s">
        <v>619</v>
      </c>
      <c r="C144" t="s">
        <v>620</v>
      </c>
      <c r="D144" t="s">
        <v>621</v>
      </c>
      <c r="E144" t="s">
        <v>644</v>
      </c>
      <c r="F144" t="s">
        <v>645</v>
      </c>
      <c r="G144" t="s">
        <v>646</v>
      </c>
      <c r="H144" s="45" t="s">
        <v>645</v>
      </c>
      <c r="I144" s="45">
        <v>15</v>
      </c>
      <c r="J144" s="45">
        <v>30</v>
      </c>
      <c r="K144" s="45">
        <v>18.5</v>
      </c>
      <c r="L144" s="45">
        <v>12</v>
      </c>
      <c r="M144" s="45">
        <v>84</v>
      </c>
    </row>
    <row r="145" spans="2:13" ht="14.4" x14ac:dyDescent="0.3">
      <c r="B145" t="s">
        <v>619</v>
      </c>
      <c r="C145" t="s">
        <v>620</v>
      </c>
      <c r="D145" t="s">
        <v>621</v>
      </c>
      <c r="E145" t="s">
        <v>647</v>
      </c>
      <c r="F145" t="s">
        <v>648</v>
      </c>
      <c r="G145" t="s">
        <v>649</v>
      </c>
      <c r="H145" s="45" t="s">
        <v>648</v>
      </c>
      <c r="I145" s="45">
        <v>10</v>
      </c>
      <c r="J145" s="45">
        <v>18</v>
      </c>
      <c r="K145" s="45">
        <v>8</v>
      </c>
      <c r="L145" s="45">
        <v>6</v>
      </c>
      <c r="M145" s="45">
        <v>72</v>
      </c>
    </row>
    <row r="146" spans="2:13" ht="14.4" x14ac:dyDescent="0.3">
      <c r="B146" t="s">
        <v>619</v>
      </c>
      <c r="C146" t="s">
        <v>620</v>
      </c>
      <c r="D146" t="s">
        <v>621</v>
      </c>
      <c r="E146" t="s">
        <v>650</v>
      </c>
      <c r="F146" t="s">
        <v>651</v>
      </c>
      <c r="G146" t="s">
        <v>652</v>
      </c>
      <c r="H146" s="45" t="s">
        <v>651</v>
      </c>
      <c r="I146" s="45">
        <v>11</v>
      </c>
      <c r="J146" s="45">
        <v>20</v>
      </c>
      <c r="K146" s="45">
        <v>12</v>
      </c>
      <c r="L146" s="45">
        <v>8</v>
      </c>
      <c r="M146" s="45">
        <v>76</v>
      </c>
    </row>
    <row r="147" spans="2:13" ht="14.4" x14ac:dyDescent="0.3">
      <c r="B147" t="s">
        <v>653</v>
      </c>
      <c r="C147" t="s">
        <v>654</v>
      </c>
      <c r="D147" t="s">
        <v>655</v>
      </c>
      <c r="E147" t="s">
        <v>656</v>
      </c>
      <c r="F147" t="s">
        <v>657</v>
      </c>
      <c r="G147" t="s">
        <v>658</v>
      </c>
      <c r="H147" s="45" t="s">
        <v>657</v>
      </c>
      <c r="I147" s="45">
        <v>7</v>
      </c>
      <c r="J147" s="45">
        <v>6.5</v>
      </c>
      <c r="K147" s="45">
        <v>4</v>
      </c>
      <c r="L147" s="45">
        <v>2</v>
      </c>
      <c r="M147" s="45">
        <v>56</v>
      </c>
    </row>
    <row r="148" spans="2:13" ht="14.4" x14ac:dyDescent="0.3">
      <c r="B148" t="s">
        <v>653</v>
      </c>
      <c r="C148" t="s">
        <v>654</v>
      </c>
      <c r="D148" t="s">
        <v>655</v>
      </c>
      <c r="E148" t="s">
        <v>659</v>
      </c>
      <c r="F148" t="s">
        <v>660</v>
      </c>
      <c r="G148" t="s">
        <v>661</v>
      </c>
      <c r="H148" s="45" t="s">
        <v>660</v>
      </c>
      <c r="I148" s="45">
        <v>8</v>
      </c>
      <c r="J148" s="45">
        <v>10</v>
      </c>
      <c r="K148" s="45">
        <v>6</v>
      </c>
      <c r="L148" s="45">
        <v>4</v>
      </c>
      <c r="M148" s="45">
        <v>64</v>
      </c>
    </row>
    <row r="149" spans="2:13" ht="14.4" x14ac:dyDescent="0.3">
      <c r="B149" t="s">
        <v>653</v>
      </c>
      <c r="C149" t="s">
        <v>654</v>
      </c>
      <c r="D149" t="s">
        <v>655</v>
      </c>
      <c r="E149" t="s">
        <v>662</v>
      </c>
      <c r="F149" t="s">
        <v>663</v>
      </c>
      <c r="G149" t="s">
        <v>664</v>
      </c>
      <c r="H149" s="45" t="s">
        <v>663</v>
      </c>
      <c r="I149" s="45">
        <v>7.5</v>
      </c>
      <c r="J149" s="45">
        <v>7.5</v>
      </c>
      <c r="K149" s="45">
        <v>4.5</v>
      </c>
      <c r="L149" s="45">
        <v>2</v>
      </c>
      <c r="M149" s="45">
        <v>58</v>
      </c>
    </row>
    <row r="150" spans="2:13" ht="14.4" x14ac:dyDescent="0.3">
      <c r="B150" t="s">
        <v>653</v>
      </c>
      <c r="C150" t="s">
        <v>654</v>
      </c>
      <c r="D150" t="s">
        <v>655</v>
      </c>
      <c r="E150" t="s">
        <v>665</v>
      </c>
      <c r="F150" t="s">
        <v>666</v>
      </c>
      <c r="G150" t="s">
        <v>667</v>
      </c>
      <c r="H150" s="45" t="s">
        <v>666</v>
      </c>
      <c r="I150" s="45">
        <v>8</v>
      </c>
      <c r="J150" s="45">
        <v>9</v>
      </c>
      <c r="K150" s="45">
        <v>4.5</v>
      </c>
      <c r="L150" s="45">
        <v>3</v>
      </c>
      <c r="M150" s="45">
        <v>62</v>
      </c>
    </row>
    <row r="151" spans="2:13" ht="14.4" x14ac:dyDescent="0.3">
      <c r="B151" t="s">
        <v>653</v>
      </c>
      <c r="C151" t="s">
        <v>654</v>
      </c>
      <c r="D151" t="s">
        <v>655</v>
      </c>
      <c r="E151" t="s">
        <v>668</v>
      </c>
      <c r="F151" t="s">
        <v>669</v>
      </c>
      <c r="G151" t="s">
        <v>670</v>
      </c>
      <c r="H151" s="45" t="s">
        <v>669</v>
      </c>
      <c r="I151" s="45">
        <v>10</v>
      </c>
      <c r="J151" s="45">
        <v>12</v>
      </c>
      <c r="K151" s="45">
        <v>5</v>
      </c>
      <c r="L151" s="45">
        <v>3</v>
      </c>
      <c r="M151" s="45">
        <v>66</v>
      </c>
    </row>
    <row r="152" spans="2:13" ht="14.4" x14ac:dyDescent="0.3">
      <c r="B152" t="s">
        <v>653</v>
      </c>
      <c r="C152" t="s">
        <v>654</v>
      </c>
      <c r="D152" t="s">
        <v>655</v>
      </c>
      <c r="E152" t="s">
        <v>671</v>
      </c>
      <c r="F152" t="s">
        <v>672</v>
      </c>
      <c r="G152" t="s">
        <v>673</v>
      </c>
      <c r="H152" s="45" t="s">
        <v>672</v>
      </c>
      <c r="I152" s="45">
        <v>12.5</v>
      </c>
      <c r="J152" s="45">
        <v>24</v>
      </c>
      <c r="K152" s="45">
        <v>5.5</v>
      </c>
      <c r="L152" s="45">
        <v>3</v>
      </c>
      <c r="M152" s="45">
        <v>74</v>
      </c>
    </row>
    <row r="153" spans="2:13" ht="14.4" x14ac:dyDescent="0.3">
      <c r="B153" t="s">
        <v>653</v>
      </c>
      <c r="C153" t="s">
        <v>654</v>
      </c>
      <c r="D153" t="s">
        <v>655</v>
      </c>
      <c r="E153" t="s">
        <v>674</v>
      </c>
      <c r="F153" t="s">
        <v>675</v>
      </c>
      <c r="G153" t="s">
        <v>676</v>
      </c>
      <c r="H153" s="45" t="s">
        <v>675</v>
      </c>
      <c r="I153" s="45">
        <v>8.5</v>
      </c>
      <c r="J153" s="45">
        <v>8.5</v>
      </c>
      <c r="K153" s="45">
        <v>5</v>
      </c>
      <c r="L153" s="45">
        <v>3</v>
      </c>
      <c r="M153" s="45">
        <v>62</v>
      </c>
    </row>
    <row r="154" spans="2:13" ht="14.4" x14ac:dyDescent="0.3">
      <c r="B154" t="s">
        <v>653</v>
      </c>
      <c r="C154" t="s">
        <v>654</v>
      </c>
      <c r="D154" t="s">
        <v>655</v>
      </c>
      <c r="E154" t="s">
        <v>677</v>
      </c>
      <c r="F154" t="s">
        <v>678</v>
      </c>
      <c r="G154" t="s">
        <v>679</v>
      </c>
      <c r="H154" s="45" t="s">
        <v>678</v>
      </c>
      <c r="I154" s="45">
        <v>10.5</v>
      </c>
      <c r="J154" s="45">
        <v>12</v>
      </c>
      <c r="K154" s="45">
        <v>6.5</v>
      </c>
      <c r="L154" s="45">
        <v>4</v>
      </c>
      <c r="M154" s="45">
        <v>70</v>
      </c>
    </row>
    <row r="155" spans="2:13" ht="14.4" x14ac:dyDescent="0.3">
      <c r="B155" t="s">
        <v>653</v>
      </c>
      <c r="C155" t="s">
        <v>654</v>
      </c>
      <c r="D155" t="s">
        <v>655</v>
      </c>
      <c r="E155" t="s">
        <v>680</v>
      </c>
      <c r="F155" t="s">
        <v>681</v>
      </c>
      <c r="G155" t="s">
        <v>682</v>
      </c>
      <c r="H155" s="45" t="s">
        <v>681</v>
      </c>
      <c r="I155" s="45">
        <v>12</v>
      </c>
      <c r="J155" s="45">
        <v>15</v>
      </c>
      <c r="K155" s="45">
        <v>10</v>
      </c>
      <c r="L155" s="45">
        <v>6</v>
      </c>
      <c r="M155" s="45">
        <v>74</v>
      </c>
    </row>
    <row r="156" spans="2:13" ht="14.4" x14ac:dyDescent="0.3">
      <c r="B156" t="s">
        <v>653</v>
      </c>
      <c r="C156" t="s">
        <v>654</v>
      </c>
      <c r="D156" t="s">
        <v>655</v>
      </c>
      <c r="E156" t="s">
        <v>683</v>
      </c>
      <c r="F156" t="s">
        <v>684</v>
      </c>
      <c r="G156" t="s">
        <v>685</v>
      </c>
      <c r="H156" s="45" t="s">
        <v>684</v>
      </c>
      <c r="I156" s="45">
        <v>11</v>
      </c>
      <c r="J156" s="45">
        <v>15</v>
      </c>
      <c r="K156" s="45">
        <v>10</v>
      </c>
      <c r="L156" s="45">
        <v>6</v>
      </c>
      <c r="M156" s="45">
        <v>74</v>
      </c>
    </row>
    <row r="157" spans="2:13" ht="14.4" x14ac:dyDescent="0.3">
      <c r="B157" t="s">
        <v>686</v>
      </c>
      <c r="C157" t="s">
        <v>687</v>
      </c>
      <c r="D157" t="s">
        <v>688</v>
      </c>
      <c r="E157" t="s">
        <v>689</v>
      </c>
      <c r="F157" t="s">
        <v>690</v>
      </c>
      <c r="G157" t="s">
        <v>691</v>
      </c>
      <c r="H157" s="45" t="s">
        <v>690</v>
      </c>
      <c r="I157" s="45">
        <v>11.5</v>
      </c>
      <c r="J157" s="45">
        <v>14</v>
      </c>
      <c r="K157" s="45">
        <v>6</v>
      </c>
      <c r="L157" s="45">
        <v>4</v>
      </c>
      <c r="M157" s="45">
        <v>70</v>
      </c>
    </row>
    <row r="158" spans="2:13" ht="14.4" x14ac:dyDescent="0.3">
      <c r="B158" t="s">
        <v>686</v>
      </c>
      <c r="C158" t="s">
        <v>687</v>
      </c>
      <c r="D158" t="s">
        <v>688</v>
      </c>
      <c r="E158" t="s">
        <v>692</v>
      </c>
      <c r="F158" t="s">
        <v>693</v>
      </c>
      <c r="G158" t="s">
        <v>694</v>
      </c>
      <c r="H158" s="45" t="s">
        <v>693</v>
      </c>
      <c r="I158" s="45">
        <v>11</v>
      </c>
      <c r="J158" s="45">
        <v>15</v>
      </c>
      <c r="K158" s="45">
        <v>5</v>
      </c>
      <c r="L158" s="45">
        <v>3</v>
      </c>
      <c r="M158" s="45">
        <v>68</v>
      </c>
    </row>
    <row r="159" spans="2:13" ht="14.4" x14ac:dyDescent="0.3">
      <c r="B159" t="s">
        <v>686</v>
      </c>
      <c r="C159" t="s">
        <v>687</v>
      </c>
      <c r="D159" t="s">
        <v>688</v>
      </c>
      <c r="E159" t="s">
        <v>695</v>
      </c>
      <c r="F159" t="s">
        <v>696</v>
      </c>
      <c r="G159" t="s">
        <v>697</v>
      </c>
      <c r="H159" s="45" t="s">
        <v>696</v>
      </c>
      <c r="I159" s="45">
        <v>12</v>
      </c>
      <c r="J159" s="45">
        <v>17</v>
      </c>
      <c r="K159" s="45">
        <v>6</v>
      </c>
      <c r="L159" s="45">
        <v>4</v>
      </c>
      <c r="M159" s="45">
        <v>72</v>
      </c>
    </row>
    <row r="160" spans="2:13" ht="14.4" x14ac:dyDescent="0.3">
      <c r="B160" t="s">
        <v>686</v>
      </c>
      <c r="C160" t="s">
        <v>687</v>
      </c>
      <c r="D160" t="s">
        <v>688</v>
      </c>
      <c r="E160" t="s">
        <v>698</v>
      </c>
      <c r="F160" t="s">
        <v>699</v>
      </c>
      <c r="G160" t="s">
        <v>700</v>
      </c>
      <c r="H160" s="45" t="s">
        <v>699</v>
      </c>
      <c r="I160" s="45">
        <v>9</v>
      </c>
      <c r="J160" s="45">
        <v>11</v>
      </c>
      <c r="K160" s="45">
        <v>5</v>
      </c>
      <c r="L160" s="45">
        <v>3</v>
      </c>
      <c r="M160" s="45">
        <v>64</v>
      </c>
    </row>
    <row r="161" spans="2:13" ht="14.4" x14ac:dyDescent="0.3">
      <c r="B161" t="s">
        <v>686</v>
      </c>
      <c r="C161" t="s">
        <v>687</v>
      </c>
      <c r="D161" t="s">
        <v>688</v>
      </c>
      <c r="E161" t="s">
        <v>701</v>
      </c>
      <c r="F161" t="s">
        <v>702</v>
      </c>
      <c r="G161" t="s">
        <v>703</v>
      </c>
      <c r="H161" s="45" t="s">
        <v>702</v>
      </c>
      <c r="I161" s="45">
        <v>12.5</v>
      </c>
      <c r="J161" s="45">
        <v>18</v>
      </c>
      <c r="K161" s="45">
        <v>8.5</v>
      </c>
      <c r="L161" s="45">
        <v>6</v>
      </c>
      <c r="M161" s="45">
        <v>76</v>
      </c>
    </row>
    <row r="162" spans="2:13" ht="14.4" x14ac:dyDescent="0.3">
      <c r="B162" t="s">
        <v>686</v>
      </c>
      <c r="C162" t="s">
        <v>687</v>
      </c>
      <c r="D162" t="s">
        <v>688</v>
      </c>
      <c r="E162" t="s">
        <v>704</v>
      </c>
      <c r="F162" t="s">
        <v>705</v>
      </c>
      <c r="G162" t="s">
        <v>706</v>
      </c>
      <c r="H162" s="45" t="s">
        <v>705</v>
      </c>
      <c r="I162" s="45">
        <v>10</v>
      </c>
      <c r="J162" s="45">
        <v>13</v>
      </c>
      <c r="K162" s="45">
        <v>5.5</v>
      </c>
      <c r="L162" s="45">
        <v>4</v>
      </c>
      <c r="M162" s="45">
        <v>68</v>
      </c>
    </row>
    <row r="163" spans="2:13" ht="14.4" x14ac:dyDescent="0.3">
      <c r="B163" t="s">
        <v>686</v>
      </c>
      <c r="C163" t="s">
        <v>687</v>
      </c>
      <c r="D163" t="s">
        <v>688</v>
      </c>
      <c r="E163" t="s">
        <v>707</v>
      </c>
      <c r="F163" t="s">
        <v>708</v>
      </c>
      <c r="G163" t="s">
        <v>709</v>
      </c>
      <c r="H163" s="45" t="s">
        <v>708</v>
      </c>
      <c r="I163" s="45">
        <v>9.5</v>
      </c>
      <c r="J163" s="45">
        <v>13</v>
      </c>
      <c r="K163" s="45">
        <v>7</v>
      </c>
      <c r="L163" s="45">
        <v>5</v>
      </c>
      <c r="M163" s="45">
        <v>70</v>
      </c>
    </row>
    <row r="164" spans="2:13" ht="14.4" x14ac:dyDescent="0.3">
      <c r="B164" t="s">
        <v>686</v>
      </c>
      <c r="C164" t="s">
        <v>687</v>
      </c>
      <c r="D164" t="s">
        <v>688</v>
      </c>
      <c r="E164" t="s">
        <v>710</v>
      </c>
      <c r="F164" t="s">
        <v>711</v>
      </c>
      <c r="G164" t="s">
        <v>712</v>
      </c>
      <c r="H164" s="45" t="s">
        <v>711</v>
      </c>
      <c r="I164" s="45">
        <v>9</v>
      </c>
      <c r="J164" s="45">
        <v>10.5</v>
      </c>
      <c r="K164" s="45">
        <v>5</v>
      </c>
      <c r="L164" s="45">
        <v>3</v>
      </c>
      <c r="M164" s="45">
        <v>64</v>
      </c>
    </row>
    <row r="165" spans="2:13" ht="14.4" x14ac:dyDescent="0.3">
      <c r="B165" t="s">
        <v>686</v>
      </c>
      <c r="C165" t="s">
        <v>687</v>
      </c>
      <c r="D165" t="s">
        <v>688</v>
      </c>
      <c r="E165" t="s">
        <v>713</v>
      </c>
      <c r="F165" t="s">
        <v>714</v>
      </c>
      <c r="G165" t="s">
        <v>715</v>
      </c>
      <c r="H165" s="45" t="s">
        <v>714</v>
      </c>
      <c r="I165" s="45">
        <v>9</v>
      </c>
      <c r="J165" s="45">
        <v>8</v>
      </c>
      <c r="K165" s="45">
        <v>5</v>
      </c>
      <c r="L165" s="45">
        <v>3</v>
      </c>
      <c r="M165" s="45">
        <v>62</v>
      </c>
    </row>
    <row r="166" spans="2:13" ht="14.4" x14ac:dyDescent="0.3">
      <c r="B166" t="s">
        <v>686</v>
      </c>
      <c r="C166" t="s">
        <v>687</v>
      </c>
      <c r="D166" t="s">
        <v>688</v>
      </c>
      <c r="E166" t="s">
        <v>716</v>
      </c>
      <c r="F166" t="s">
        <v>717</v>
      </c>
      <c r="G166" t="s">
        <v>718</v>
      </c>
      <c r="H166" s="45" t="s">
        <v>717</v>
      </c>
      <c r="I166" s="45">
        <v>11</v>
      </c>
      <c r="J166" s="45">
        <v>15</v>
      </c>
      <c r="K166" s="45">
        <v>7</v>
      </c>
      <c r="L166" s="45">
        <v>5</v>
      </c>
      <c r="M166" s="45">
        <v>72</v>
      </c>
    </row>
    <row r="167" spans="2:13" ht="14.4" x14ac:dyDescent="0.3">
      <c r="B167" t="s">
        <v>719</v>
      </c>
      <c r="C167" t="s">
        <v>720</v>
      </c>
      <c r="D167" t="s">
        <v>721</v>
      </c>
      <c r="E167" t="s">
        <v>722</v>
      </c>
      <c r="F167" t="s">
        <v>723</v>
      </c>
      <c r="G167" t="s">
        <v>724</v>
      </c>
      <c r="H167" s="45" t="s">
        <v>723</v>
      </c>
      <c r="I167" s="45">
        <v>11.5</v>
      </c>
      <c r="J167" s="45">
        <v>21.5</v>
      </c>
      <c r="K167" s="45">
        <v>7.5</v>
      </c>
      <c r="L167" s="45">
        <v>5</v>
      </c>
      <c r="M167" s="45">
        <v>74</v>
      </c>
    </row>
    <row r="168" spans="2:13" ht="14.4" x14ac:dyDescent="0.3">
      <c r="B168" t="s">
        <v>719</v>
      </c>
      <c r="C168" t="s">
        <v>720</v>
      </c>
      <c r="D168" t="s">
        <v>721</v>
      </c>
      <c r="E168" t="s">
        <v>725</v>
      </c>
      <c r="F168" t="s">
        <v>726</v>
      </c>
      <c r="G168" t="s">
        <v>727</v>
      </c>
      <c r="H168" s="45" t="s">
        <v>726</v>
      </c>
      <c r="I168" s="45">
        <v>10.5</v>
      </c>
      <c r="J168" s="45">
        <v>16</v>
      </c>
      <c r="K168" s="45">
        <v>6.5</v>
      </c>
      <c r="L168" s="45">
        <v>4</v>
      </c>
      <c r="M168" s="45">
        <v>70</v>
      </c>
    </row>
    <row r="169" spans="2:13" ht="14.4" x14ac:dyDescent="0.3">
      <c r="B169" t="s">
        <v>719</v>
      </c>
      <c r="C169" t="s">
        <v>720</v>
      </c>
      <c r="D169" t="s">
        <v>721</v>
      </c>
      <c r="E169" t="s">
        <v>728</v>
      </c>
      <c r="F169" t="s">
        <v>729</v>
      </c>
      <c r="G169" t="s">
        <v>730</v>
      </c>
      <c r="H169" s="45" t="s">
        <v>729</v>
      </c>
      <c r="I169" s="45">
        <v>8</v>
      </c>
      <c r="J169" s="45">
        <v>11</v>
      </c>
      <c r="K169" s="45">
        <v>5.5</v>
      </c>
      <c r="L169" s="45">
        <v>3</v>
      </c>
      <c r="M169" s="45">
        <v>64</v>
      </c>
    </row>
    <row r="170" spans="2:13" ht="14.4" x14ac:dyDescent="0.3">
      <c r="B170" t="s">
        <v>719</v>
      </c>
      <c r="C170" t="s">
        <v>720</v>
      </c>
      <c r="D170" t="s">
        <v>721</v>
      </c>
      <c r="E170" t="s">
        <v>731</v>
      </c>
      <c r="F170" t="s">
        <v>732</v>
      </c>
      <c r="G170" t="s">
        <v>733</v>
      </c>
      <c r="H170" s="45" t="s">
        <v>732</v>
      </c>
      <c r="I170" s="45">
        <v>9</v>
      </c>
      <c r="J170" s="45">
        <v>12</v>
      </c>
      <c r="K170" s="45">
        <v>8</v>
      </c>
      <c r="L170" s="45">
        <v>5</v>
      </c>
      <c r="M170" s="45">
        <v>70</v>
      </c>
    </row>
    <row r="171" spans="2:13" ht="14.4" x14ac:dyDescent="0.3">
      <c r="B171" t="s">
        <v>719</v>
      </c>
      <c r="C171" t="s">
        <v>720</v>
      </c>
      <c r="D171" t="s">
        <v>721</v>
      </c>
      <c r="E171" t="s">
        <v>734</v>
      </c>
      <c r="F171" t="s">
        <v>735</v>
      </c>
      <c r="G171" t="s">
        <v>735</v>
      </c>
      <c r="H171" s="45" t="s">
        <v>735</v>
      </c>
      <c r="I171" s="45">
        <v>9.5</v>
      </c>
      <c r="J171" s="45">
        <v>16</v>
      </c>
      <c r="K171" s="45">
        <v>10</v>
      </c>
      <c r="L171" s="45">
        <v>6</v>
      </c>
      <c r="M171" s="45">
        <v>72</v>
      </c>
    </row>
    <row r="172" spans="2:13" ht="14.4" x14ac:dyDescent="0.3">
      <c r="B172" t="s">
        <v>719</v>
      </c>
      <c r="C172" t="s">
        <v>720</v>
      </c>
      <c r="D172" t="s">
        <v>721</v>
      </c>
      <c r="E172" t="s">
        <v>736</v>
      </c>
      <c r="F172" t="s">
        <v>737</v>
      </c>
      <c r="G172" t="s">
        <v>738</v>
      </c>
      <c r="H172" s="45" t="s">
        <v>737</v>
      </c>
      <c r="I172" s="45">
        <v>10.5</v>
      </c>
      <c r="J172" s="45">
        <v>18</v>
      </c>
      <c r="K172" s="45">
        <v>8</v>
      </c>
      <c r="L172" s="45">
        <v>6</v>
      </c>
      <c r="M172" s="45">
        <v>74</v>
      </c>
    </row>
    <row r="173" spans="2:13" ht="14.4" x14ac:dyDescent="0.3">
      <c r="B173" t="s">
        <v>719</v>
      </c>
      <c r="C173" t="s">
        <v>720</v>
      </c>
      <c r="D173" t="s">
        <v>721</v>
      </c>
      <c r="E173" t="s">
        <v>739</v>
      </c>
      <c r="F173" t="s">
        <v>740</v>
      </c>
      <c r="G173" t="s">
        <v>741</v>
      </c>
      <c r="H173" s="45" t="s">
        <v>740</v>
      </c>
      <c r="I173" s="45">
        <v>10</v>
      </c>
      <c r="J173" s="45">
        <v>17</v>
      </c>
      <c r="K173" s="45">
        <v>7</v>
      </c>
      <c r="L173" s="45">
        <v>6</v>
      </c>
      <c r="M173" s="45">
        <v>74</v>
      </c>
    </row>
    <row r="174" spans="2:13" ht="14.4" x14ac:dyDescent="0.3">
      <c r="B174" t="s">
        <v>719</v>
      </c>
      <c r="C174" t="s">
        <v>720</v>
      </c>
      <c r="D174" t="s">
        <v>721</v>
      </c>
      <c r="E174" t="s">
        <v>742</v>
      </c>
      <c r="F174" t="s">
        <v>743</v>
      </c>
      <c r="G174" t="s">
        <v>744</v>
      </c>
      <c r="H174" t="s">
        <v>743</v>
      </c>
      <c r="I174">
        <v>12</v>
      </c>
      <c r="J174">
        <v>20</v>
      </c>
      <c r="K174">
        <v>12</v>
      </c>
      <c r="L174">
        <v>10</v>
      </c>
      <c r="M174" s="45">
        <v>70</v>
      </c>
    </row>
    <row r="175" spans="2:13" ht="14.4" x14ac:dyDescent="0.3">
      <c r="B175" t="s">
        <v>719</v>
      </c>
      <c r="C175" t="s">
        <v>720</v>
      </c>
      <c r="D175" t="s">
        <v>721</v>
      </c>
      <c r="E175" t="s">
        <v>745</v>
      </c>
      <c r="F175" t="s">
        <v>746</v>
      </c>
      <c r="G175" t="s">
        <v>746</v>
      </c>
      <c r="H175" t="s">
        <v>747</v>
      </c>
      <c r="I175" s="45">
        <v>11.5</v>
      </c>
      <c r="J175" s="45">
        <v>18</v>
      </c>
      <c r="K175" s="45">
        <v>15</v>
      </c>
      <c r="L175" s="45">
        <v>10</v>
      </c>
      <c r="M175" s="45">
        <v>78</v>
      </c>
    </row>
    <row r="176" spans="2:13" ht="14.4" x14ac:dyDescent="0.3">
      <c r="B176" t="s">
        <v>719</v>
      </c>
      <c r="C176" t="s">
        <v>720</v>
      </c>
      <c r="D176" t="s">
        <v>721</v>
      </c>
      <c r="E176" t="s">
        <v>748</v>
      </c>
      <c r="F176" t="s">
        <v>749</v>
      </c>
      <c r="G176" t="s">
        <v>750</v>
      </c>
      <c r="H176" t="s">
        <v>749</v>
      </c>
      <c r="I176" s="45">
        <v>8</v>
      </c>
      <c r="J176" s="45">
        <v>6</v>
      </c>
      <c r="K176" s="45">
        <v>10</v>
      </c>
      <c r="L176" s="45">
        <v>6</v>
      </c>
      <c r="M176" s="45">
        <v>66</v>
      </c>
    </row>
    <row r="177" spans="2:8" ht="14.4" x14ac:dyDescent="0.3">
      <c r="B177"/>
    </row>
    <row r="178" spans="2:8" ht="14.4" x14ac:dyDescent="0.3">
      <c r="B178"/>
    </row>
    <row r="179" spans="2:8" x14ac:dyDescent="0.3">
      <c r="B179" s="36" t="s">
        <v>751</v>
      </c>
      <c r="C179" s="37"/>
      <c r="D179" s="37"/>
      <c r="E179" s="38"/>
      <c r="F179" s="38"/>
      <c r="G179" s="38"/>
      <c r="H179" s="38"/>
    </row>
    <row r="180" spans="2:8" x14ac:dyDescent="0.3">
      <c r="B180" s="46"/>
      <c r="C180" s="47"/>
      <c r="D180" s="47"/>
    </row>
    <row r="181" spans="2:8" x14ac:dyDescent="0.3">
      <c r="B181" s="48" t="s">
        <v>52</v>
      </c>
      <c r="C181" s="49" t="s">
        <v>53</v>
      </c>
      <c r="D181" s="47"/>
    </row>
    <row r="182" spans="2:8" x14ac:dyDescent="0.3">
      <c r="B182" s="39" t="s">
        <v>752</v>
      </c>
      <c r="C182" s="50">
        <v>0.2</v>
      </c>
      <c r="D182" s="47"/>
    </row>
    <row r="183" spans="2:8" x14ac:dyDescent="0.3">
      <c r="B183" s="39" t="s">
        <v>6</v>
      </c>
      <c r="C183" s="50">
        <v>0.2</v>
      </c>
      <c r="D183" s="47"/>
    </row>
    <row r="184" spans="2:8" x14ac:dyDescent="0.3">
      <c r="B184" s="39" t="s">
        <v>3</v>
      </c>
      <c r="C184" s="50">
        <v>0.2</v>
      </c>
      <c r="D184" s="47"/>
    </row>
    <row r="185" spans="2:8" x14ac:dyDescent="0.3">
      <c r="B185" s="39" t="s">
        <v>10</v>
      </c>
      <c r="C185" s="50">
        <v>0.1</v>
      </c>
      <c r="D185" s="47"/>
    </row>
    <row r="186" spans="2:8" x14ac:dyDescent="0.3">
      <c r="B186" s="39" t="s">
        <v>8</v>
      </c>
      <c r="C186" s="50">
        <v>0</v>
      </c>
      <c r="D186" s="47"/>
    </row>
    <row r="187" spans="2:8" x14ac:dyDescent="0.3">
      <c r="B187" s="39" t="s">
        <v>753</v>
      </c>
      <c r="C187" s="50">
        <v>-0.1</v>
      </c>
      <c r="D187" s="47"/>
    </row>
    <row r="188" spans="2:8" x14ac:dyDescent="0.3">
      <c r="B188" s="39" t="s">
        <v>754</v>
      </c>
      <c r="C188" s="50">
        <v>-0.2</v>
      </c>
      <c r="D188" s="47"/>
    </row>
    <row r="189" spans="2:8" x14ac:dyDescent="0.3">
      <c r="B189" s="51" t="s">
        <v>54</v>
      </c>
      <c r="C189" s="50">
        <v>-0.2</v>
      </c>
      <c r="D189" s="47"/>
    </row>
    <row r="190" spans="2:8" x14ac:dyDescent="0.3">
      <c r="B190" s="51" t="s">
        <v>55</v>
      </c>
      <c r="C190" s="50">
        <v>-0.2</v>
      </c>
      <c r="D190" s="47"/>
    </row>
    <row r="191" spans="2:8" x14ac:dyDescent="0.3">
      <c r="B191" s="51" t="s">
        <v>56</v>
      </c>
      <c r="C191" s="50">
        <v>-0.3</v>
      </c>
      <c r="D191" s="47"/>
    </row>
    <row r="192" spans="2:8" x14ac:dyDescent="0.3">
      <c r="B192" s="51"/>
      <c r="C192" s="50"/>
      <c r="D192" s="47"/>
    </row>
    <row r="193" spans="2:8" x14ac:dyDescent="0.3">
      <c r="B193" s="46"/>
      <c r="C193" s="47"/>
      <c r="D193" s="47"/>
    </row>
    <row r="194" spans="2:8" x14ac:dyDescent="0.3">
      <c r="B194" s="36" t="s">
        <v>755</v>
      </c>
      <c r="C194" s="37"/>
      <c r="D194" s="37"/>
      <c r="E194" s="38"/>
      <c r="F194" s="38"/>
      <c r="G194" s="38"/>
      <c r="H194" s="38"/>
    </row>
    <row r="195" spans="2:8" x14ac:dyDescent="0.3">
      <c r="B195" s="46"/>
      <c r="C195" s="47"/>
      <c r="D195" s="47"/>
    </row>
    <row r="196" spans="2:8" x14ac:dyDescent="0.3">
      <c r="B196" s="13" t="s">
        <v>57</v>
      </c>
      <c r="C196" s="14" t="s">
        <v>53</v>
      </c>
      <c r="D196" s="47"/>
    </row>
    <row r="197" spans="2:8" x14ac:dyDescent="0.3">
      <c r="B197" s="15">
        <v>0</v>
      </c>
      <c r="C197" s="16">
        <v>-0.5</v>
      </c>
      <c r="D197" s="47"/>
    </row>
    <row r="198" spans="2:8" x14ac:dyDescent="0.3">
      <c r="B198" s="17">
        <v>5000000</v>
      </c>
      <c r="C198" s="16">
        <v>-0.2</v>
      </c>
      <c r="D198" s="47"/>
    </row>
    <row r="199" spans="2:8" x14ac:dyDescent="0.3">
      <c r="B199" s="17">
        <v>15000000</v>
      </c>
      <c r="C199" s="16">
        <v>0</v>
      </c>
      <c r="D199" s="47"/>
    </row>
    <row r="200" spans="2:8" x14ac:dyDescent="0.3">
      <c r="B200" s="17">
        <v>50000000</v>
      </c>
      <c r="C200" s="16">
        <v>0.3</v>
      </c>
      <c r="D200" s="47"/>
    </row>
    <row r="201" spans="2:8" x14ac:dyDescent="0.3">
      <c r="B201" s="17">
        <v>100000000</v>
      </c>
      <c r="C201" s="16">
        <v>0.6</v>
      </c>
      <c r="D201" s="47"/>
    </row>
    <row r="202" spans="2:8" x14ac:dyDescent="0.3">
      <c r="B202" s="46"/>
      <c r="C202" s="47"/>
      <c r="D202" s="47"/>
    </row>
    <row r="203" spans="2:8" x14ac:dyDescent="0.3">
      <c r="B203" s="46"/>
      <c r="C203" s="47"/>
      <c r="D203" s="47"/>
    </row>
    <row r="204" spans="2:8" x14ac:dyDescent="0.3">
      <c r="B204" s="36" t="s">
        <v>756</v>
      </c>
      <c r="C204" s="37"/>
      <c r="D204" s="37"/>
      <c r="E204" s="38"/>
      <c r="F204" s="38"/>
      <c r="G204" s="38"/>
      <c r="H204" s="38"/>
    </row>
    <row r="205" spans="2:8" x14ac:dyDescent="0.3">
      <c r="B205" s="46"/>
      <c r="C205" s="47"/>
      <c r="D205" s="47"/>
    </row>
    <row r="206" spans="2:8" x14ac:dyDescent="0.3">
      <c r="B206" s="13" t="s">
        <v>58</v>
      </c>
      <c r="C206" s="14" t="s">
        <v>53</v>
      </c>
      <c r="D206" s="47"/>
    </row>
    <row r="207" spans="2:8" x14ac:dyDescent="0.3">
      <c r="B207" s="15">
        <v>0</v>
      </c>
      <c r="C207" s="16">
        <v>0.1</v>
      </c>
      <c r="D207" s="47"/>
    </row>
    <row r="208" spans="2:8" x14ac:dyDescent="0.3">
      <c r="B208" s="15">
        <v>30</v>
      </c>
      <c r="C208" s="16">
        <v>0</v>
      </c>
      <c r="D208" s="47"/>
    </row>
    <row r="209" spans="2:8" x14ac:dyDescent="0.3">
      <c r="B209" s="15">
        <v>45</v>
      </c>
      <c r="C209" s="16">
        <v>-0.3</v>
      </c>
      <c r="D209" s="47"/>
    </row>
    <row r="210" spans="2:8" x14ac:dyDescent="0.3">
      <c r="B210" s="15">
        <v>60</v>
      </c>
      <c r="C210" s="16">
        <v>-0.6</v>
      </c>
      <c r="D210" s="47"/>
    </row>
    <row r="211" spans="2:8" x14ac:dyDescent="0.3">
      <c r="B211" s="46"/>
      <c r="C211" s="47"/>
      <c r="D211" s="47"/>
    </row>
    <row r="212" spans="2:8" x14ac:dyDescent="0.3">
      <c r="B212" s="46" t="s">
        <v>59</v>
      </c>
      <c r="C212" s="47"/>
      <c r="D212" s="47"/>
    </row>
    <row r="213" spans="2:8" x14ac:dyDescent="0.3">
      <c r="B213" s="46"/>
      <c r="C213" s="47"/>
      <c r="D213" s="47"/>
    </row>
    <row r="214" spans="2:8" x14ac:dyDescent="0.3">
      <c r="B214" s="36" t="s">
        <v>757</v>
      </c>
      <c r="C214" s="37"/>
      <c r="D214" s="37"/>
      <c r="E214" s="38"/>
      <c r="F214" s="38"/>
      <c r="G214" s="38"/>
      <c r="H214" s="38"/>
    </row>
    <row r="215" spans="2:8" x14ac:dyDescent="0.3">
      <c r="B215" s="46"/>
      <c r="C215" s="47"/>
      <c r="D215" s="47"/>
    </row>
    <row r="216" spans="2:8" x14ac:dyDescent="0.3">
      <c r="B216" s="54" t="s">
        <v>2</v>
      </c>
      <c r="C216" s="52" t="s">
        <v>60</v>
      </c>
      <c r="D216" s="47"/>
    </row>
    <row r="217" spans="2:8" x14ac:dyDescent="0.3">
      <c r="B217" s="55" t="s">
        <v>4</v>
      </c>
      <c r="C217" s="53">
        <v>1</v>
      </c>
      <c r="D217" s="47"/>
    </row>
    <row r="218" spans="2:8" x14ac:dyDescent="0.3">
      <c r="B218" s="55" t="s">
        <v>7</v>
      </c>
      <c r="C218" s="53">
        <v>1.17</v>
      </c>
      <c r="D218" s="47"/>
    </row>
    <row r="219" spans="2:8" x14ac:dyDescent="0.3">
      <c r="B219" s="55" t="s">
        <v>5</v>
      </c>
      <c r="C219" s="53">
        <v>0.93</v>
      </c>
      <c r="D219" s="47"/>
    </row>
    <row r="220" spans="2:8" x14ac:dyDescent="0.3">
      <c r="B220" s="55" t="s">
        <v>9</v>
      </c>
      <c r="C220" s="53">
        <v>1.04</v>
      </c>
      <c r="D220" s="47"/>
    </row>
    <row r="221" spans="2:8" x14ac:dyDescent="0.3">
      <c r="B221" s="55" t="s">
        <v>61</v>
      </c>
      <c r="C221" s="53" t="s">
        <v>61</v>
      </c>
      <c r="D221" s="47"/>
    </row>
    <row r="222" spans="2:8" x14ac:dyDescent="0.3">
      <c r="B222" s="51" t="s">
        <v>62</v>
      </c>
      <c r="C222" s="47"/>
      <c r="D222" s="47"/>
    </row>
    <row r="223" spans="2:8" x14ac:dyDescent="0.3">
      <c r="B223" s="46"/>
      <c r="C223" s="47"/>
      <c r="D223" s="47"/>
    </row>
    <row r="224" spans="2:8" x14ac:dyDescent="0.3">
      <c r="B224" s="36" t="s">
        <v>758</v>
      </c>
      <c r="C224" s="37"/>
      <c r="D224" s="37"/>
      <c r="E224" s="38"/>
      <c r="F224" s="38"/>
      <c r="G224" s="38"/>
      <c r="H224" s="38"/>
    </row>
    <row r="225" spans="2:8" x14ac:dyDescent="0.3">
      <c r="B225" s="46"/>
      <c r="C225" s="47"/>
      <c r="D225" s="47"/>
    </row>
    <row r="226" spans="2:8" x14ac:dyDescent="0.3">
      <c r="B226" s="25" t="s">
        <v>90</v>
      </c>
      <c r="C226" s="22" t="s">
        <v>91</v>
      </c>
      <c r="D226" s="47"/>
    </row>
    <row r="227" spans="2:8" x14ac:dyDescent="0.3">
      <c r="B227" s="26">
        <v>0</v>
      </c>
      <c r="C227" s="24">
        <v>40</v>
      </c>
      <c r="D227" s="47"/>
    </row>
    <row r="228" spans="2:8" x14ac:dyDescent="0.3">
      <c r="B228" s="27">
        <v>5000000</v>
      </c>
      <c r="C228" s="24">
        <v>60</v>
      </c>
      <c r="D228" s="47"/>
    </row>
    <row r="229" spans="2:8" x14ac:dyDescent="0.3">
      <c r="B229" s="27">
        <v>15000000</v>
      </c>
      <c r="C229" s="24">
        <v>75</v>
      </c>
      <c r="D229" s="47"/>
    </row>
    <row r="230" spans="2:8" x14ac:dyDescent="0.3">
      <c r="B230" s="27">
        <v>50000000</v>
      </c>
      <c r="C230" s="24">
        <v>85</v>
      </c>
      <c r="D230" s="47"/>
    </row>
    <row r="231" spans="2:8" x14ac:dyDescent="0.3">
      <c r="B231" s="27">
        <v>100000000</v>
      </c>
      <c r="C231" s="24">
        <v>95</v>
      </c>
      <c r="D231" s="47"/>
    </row>
    <row r="232" spans="2:8" x14ac:dyDescent="0.3">
      <c r="B232" s="46"/>
      <c r="C232" s="47"/>
      <c r="D232" s="47"/>
    </row>
    <row r="233" spans="2:8" x14ac:dyDescent="0.3">
      <c r="B233" s="46"/>
      <c r="C233" s="47"/>
      <c r="D233" s="47"/>
    </row>
    <row r="234" spans="2:8" x14ac:dyDescent="0.3">
      <c r="B234" s="36" t="s">
        <v>759</v>
      </c>
      <c r="C234" s="37"/>
      <c r="D234" s="37"/>
      <c r="E234" s="38"/>
      <c r="F234" s="38"/>
      <c r="G234" s="38"/>
      <c r="H234" s="38"/>
    </row>
    <row r="235" spans="2:8" x14ac:dyDescent="0.3">
      <c r="B235" s="46"/>
      <c r="C235" s="47"/>
      <c r="D235" s="47"/>
    </row>
    <row r="236" spans="2:8" x14ac:dyDescent="0.3">
      <c r="B236" s="25" t="s">
        <v>760</v>
      </c>
      <c r="C236" s="22" t="s">
        <v>89</v>
      </c>
      <c r="D236" s="47"/>
    </row>
    <row r="237" spans="2:8" x14ac:dyDescent="0.3">
      <c r="B237" s="39" t="s">
        <v>761</v>
      </c>
      <c r="C237" s="24">
        <v>100</v>
      </c>
      <c r="D237" s="47"/>
    </row>
    <row r="238" spans="2:8" x14ac:dyDescent="0.3">
      <c r="B238" s="39" t="s">
        <v>762</v>
      </c>
      <c r="C238" s="24">
        <f>C237-2</f>
        <v>98</v>
      </c>
      <c r="D238" s="47"/>
    </row>
    <row r="239" spans="2:8" x14ac:dyDescent="0.3">
      <c r="B239" s="39" t="s">
        <v>763</v>
      </c>
      <c r="C239" s="24">
        <f t="shared" ref="C239:C249" si="0">C238-2</f>
        <v>96</v>
      </c>
      <c r="D239" s="47"/>
    </row>
    <row r="240" spans="2:8" x14ac:dyDescent="0.3">
      <c r="B240" s="39" t="s">
        <v>764</v>
      </c>
      <c r="C240" s="24">
        <f t="shared" si="0"/>
        <v>94</v>
      </c>
      <c r="D240" s="47"/>
    </row>
    <row r="241" spans="2:4" x14ac:dyDescent="0.3">
      <c r="B241" s="39" t="s">
        <v>765</v>
      </c>
      <c r="C241" s="24">
        <f t="shared" si="0"/>
        <v>92</v>
      </c>
      <c r="D241" s="47"/>
    </row>
    <row r="242" spans="2:4" x14ac:dyDescent="0.3">
      <c r="B242" s="39" t="s">
        <v>766</v>
      </c>
      <c r="C242" s="24">
        <f t="shared" si="0"/>
        <v>90</v>
      </c>
      <c r="D242" s="47"/>
    </row>
    <row r="243" spans="2:4" x14ac:dyDescent="0.3">
      <c r="B243" s="39" t="s">
        <v>767</v>
      </c>
      <c r="C243" s="24">
        <f t="shared" si="0"/>
        <v>88</v>
      </c>
      <c r="D243" s="47"/>
    </row>
    <row r="244" spans="2:4" x14ac:dyDescent="0.3">
      <c r="B244" s="39" t="s">
        <v>768</v>
      </c>
      <c r="C244" s="24">
        <f t="shared" si="0"/>
        <v>86</v>
      </c>
      <c r="D244" s="47"/>
    </row>
    <row r="245" spans="2:4" x14ac:dyDescent="0.3">
      <c r="B245" s="39" t="s">
        <v>769</v>
      </c>
      <c r="C245" s="24">
        <f t="shared" si="0"/>
        <v>84</v>
      </c>
      <c r="D245" s="47"/>
    </row>
    <row r="246" spans="2:4" x14ac:dyDescent="0.3">
      <c r="B246" s="39" t="s">
        <v>770</v>
      </c>
      <c r="C246" s="24">
        <f t="shared" si="0"/>
        <v>82</v>
      </c>
      <c r="D246" s="47"/>
    </row>
    <row r="247" spans="2:4" x14ac:dyDescent="0.3">
      <c r="B247" s="39" t="s">
        <v>771</v>
      </c>
      <c r="C247" s="24">
        <f t="shared" si="0"/>
        <v>80</v>
      </c>
      <c r="D247" s="47"/>
    </row>
    <row r="248" spans="2:4" x14ac:dyDescent="0.3">
      <c r="B248" s="39" t="s">
        <v>772</v>
      </c>
      <c r="C248" s="24">
        <f t="shared" si="0"/>
        <v>78</v>
      </c>
      <c r="D248" s="47"/>
    </row>
    <row r="249" spans="2:4" x14ac:dyDescent="0.3">
      <c r="B249" s="39" t="s">
        <v>773</v>
      </c>
      <c r="C249" s="24">
        <f t="shared" si="0"/>
        <v>76</v>
      </c>
      <c r="D249" s="47"/>
    </row>
  </sheetData>
  <autoFilter ref="B3:M1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 (Investor Grade)</vt:lpstr>
      <vt:lpstr>Reference Data 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2025-11-05T16:52:09Z</dcterms:created>
  <dcterms:modified xsi:type="dcterms:W3CDTF">2026-01-16T08:30:35Z</dcterms:modified>
  <dc:language>en-US</dc:language>
</cp:coreProperties>
</file>