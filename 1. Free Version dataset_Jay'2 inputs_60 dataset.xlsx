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rsonal Stuff\1. Projects\101. Jay_Tapway Global_Valuation calculation AI (Hammad)\Valuation Training Dataset\"/>
    </mc:Choice>
  </mc:AlternateContent>
  <bookViews>
    <workbookView xWindow="-120" yWindow="-120" windowWidth="23280" windowHeight="14880" activeTab="1"/>
  </bookViews>
  <sheets>
    <sheet name="FREE (Quick Valuation)" sheetId="1" r:id="rId1"/>
    <sheet name="Reference Data sheet" sheetId="5" r:id="rId2"/>
  </sheets>
  <definedNames>
    <definedName name="_xlnm._FilterDatabase" localSheetId="1" hidden="1">'Reference Data sheet'!$B$3:$M$176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D23" i="1"/>
  <c r="D24" i="1" s="1"/>
  <c r="E23" i="1"/>
  <c r="E24" i="1" s="1"/>
  <c r="F23" i="1"/>
  <c r="G23" i="1"/>
  <c r="H23" i="1"/>
  <c r="I23" i="1"/>
  <c r="J23" i="1"/>
  <c r="J24" i="1" s="1"/>
  <c r="K23" i="1"/>
  <c r="K24" i="1" s="1"/>
  <c r="L23" i="1"/>
  <c r="L24" i="1" s="1"/>
  <c r="M23" i="1"/>
  <c r="M24" i="1" s="1"/>
  <c r="N23" i="1"/>
  <c r="O23" i="1"/>
  <c r="P23" i="1"/>
  <c r="Q23" i="1"/>
  <c r="R23" i="1"/>
  <c r="R24" i="1" s="1"/>
  <c r="S23" i="1"/>
  <c r="S24" i="1" s="1"/>
  <c r="T23" i="1"/>
  <c r="T24" i="1" s="1"/>
  <c r="U23" i="1"/>
  <c r="U24" i="1" s="1"/>
  <c r="V23" i="1"/>
  <c r="W23" i="1"/>
  <c r="X23" i="1"/>
  <c r="Y23" i="1"/>
  <c r="Z23" i="1"/>
  <c r="Z24" i="1" s="1"/>
  <c r="AA23" i="1"/>
  <c r="AA24" i="1" s="1"/>
  <c r="AB23" i="1"/>
  <c r="AB24" i="1" s="1"/>
  <c r="AC23" i="1"/>
  <c r="AC24" i="1" s="1"/>
  <c r="AD23" i="1"/>
  <c r="AE23" i="1"/>
  <c r="AF23" i="1"/>
  <c r="AG23" i="1"/>
  <c r="AH23" i="1"/>
  <c r="AH24" i="1" s="1"/>
  <c r="AI23" i="1"/>
  <c r="AI24" i="1" s="1"/>
  <c r="AJ23" i="1"/>
  <c r="AJ24" i="1" s="1"/>
  <c r="AK23" i="1"/>
  <c r="AK24" i="1" s="1"/>
  <c r="AL23" i="1"/>
  <c r="AM23" i="1"/>
  <c r="AN23" i="1"/>
  <c r="AO23" i="1"/>
  <c r="AP23" i="1"/>
  <c r="AP24" i="1" s="1"/>
  <c r="AQ23" i="1"/>
  <c r="AQ24" i="1" s="1"/>
  <c r="AR23" i="1"/>
  <c r="AR24" i="1" s="1"/>
  <c r="AS23" i="1"/>
  <c r="AS24" i="1" s="1"/>
  <c r="AT23" i="1"/>
  <c r="AU23" i="1"/>
  <c r="AV23" i="1"/>
  <c r="AW23" i="1"/>
  <c r="AX23" i="1"/>
  <c r="AX24" i="1" s="1"/>
  <c r="AY23" i="1"/>
  <c r="AY24" i="1" s="1"/>
  <c r="AZ23" i="1"/>
  <c r="AZ24" i="1" s="1"/>
  <c r="BA23" i="1"/>
  <c r="BA24" i="1" s="1"/>
  <c r="BB23" i="1"/>
  <c r="BC23" i="1"/>
  <c r="BD23" i="1"/>
  <c r="BE23" i="1"/>
  <c r="BF23" i="1"/>
  <c r="BF24" i="1" s="1"/>
  <c r="BG23" i="1"/>
  <c r="BG24" i="1" s="1"/>
  <c r="BH23" i="1"/>
  <c r="BH24" i="1" s="1"/>
  <c r="BI23" i="1"/>
  <c r="BI24" i="1" s="1"/>
  <c r="F24" i="1"/>
  <c r="G24" i="1"/>
  <c r="G25" i="1" s="1"/>
  <c r="H24" i="1"/>
  <c r="H25" i="1" s="1"/>
  <c r="I24" i="1"/>
  <c r="I25" i="1" s="1"/>
  <c r="N24" i="1"/>
  <c r="O24" i="1"/>
  <c r="O25" i="1" s="1"/>
  <c r="P24" i="1"/>
  <c r="P25" i="1" s="1"/>
  <c r="Q24" i="1"/>
  <c r="Q25" i="1" s="1"/>
  <c r="V24" i="1"/>
  <c r="W24" i="1"/>
  <c r="W25" i="1" s="1"/>
  <c r="X24" i="1"/>
  <c r="X25" i="1" s="1"/>
  <c r="Y24" i="1"/>
  <c r="Y25" i="1" s="1"/>
  <c r="AD24" i="1"/>
  <c r="AE24" i="1"/>
  <c r="AE25" i="1" s="1"/>
  <c r="AF24" i="1"/>
  <c r="AF25" i="1" s="1"/>
  <c r="AG24" i="1"/>
  <c r="AG25" i="1" s="1"/>
  <c r="AL24" i="1"/>
  <c r="AM24" i="1"/>
  <c r="AM25" i="1" s="1"/>
  <c r="AN24" i="1"/>
  <c r="AN25" i="1" s="1"/>
  <c r="AO24" i="1"/>
  <c r="AO25" i="1" s="1"/>
  <c r="AT24" i="1"/>
  <c r="AU24" i="1"/>
  <c r="AU25" i="1" s="1"/>
  <c r="AV24" i="1"/>
  <c r="AV25" i="1" s="1"/>
  <c r="AW24" i="1"/>
  <c r="AW25" i="1" s="1"/>
  <c r="BB24" i="1"/>
  <c r="BC24" i="1"/>
  <c r="BC25" i="1" s="1"/>
  <c r="BD24" i="1"/>
  <c r="BD25" i="1" s="1"/>
  <c r="BE24" i="1"/>
  <c r="BE25" i="1" s="1"/>
  <c r="F25" i="1"/>
  <c r="N25" i="1"/>
  <c r="V25" i="1"/>
  <c r="AD25" i="1"/>
  <c r="AL25" i="1"/>
  <c r="AT25" i="1"/>
  <c r="BB25" i="1"/>
  <c r="F27" i="1"/>
  <c r="I27" i="1"/>
  <c r="I28" i="1" s="1"/>
  <c r="N27" i="1"/>
  <c r="Q27" i="1"/>
  <c r="Q28" i="1" s="1"/>
  <c r="V27" i="1"/>
  <c r="Y27" i="1"/>
  <c r="Y28" i="1" s="1"/>
  <c r="AD27" i="1"/>
  <c r="AG27" i="1"/>
  <c r="AG28" i="1" s="1"/>
  <c r="AL27" i="1"/>
  <c r="AO27" i="1"/>
  <c r="AO28" i="1" s="1"/>
  <c r="AT27" i="1"/>
  <c r="AW27" i="1"/>
  <c r="AW28" i="1" s="1"/>
  <c r="BB27" i="1"/>
  <c r="BE27" i="1"/>
  <c r="BE28" i="1" s="1"/>
  <c r="F28" i="1"/>
  <c r="N28" i="1"/>
  <c r="V28" i="1"/>
  <c r="AD28" i="1"/>
  <c r="AL28" i="1"/>
  <c r="AT28" i="1"/>
  <c r="BB28" i="1"/>
  <c r="F30" i="1"/>
  <c r="F31" i="1" s="1"/>
  <c r="H30" i="1"/>
  <c r="N30" i="1"/>
  <c r="N31" i="1" s="1"/>
  <c r="P30" i="1"/>
  <c r="V30" i="1"/>
  <c r="V31" i="1" s="1"/>
  <c r="X30" i="1"/>
  <c r="AD30" i="1"/>
  <c r="AD31" i="1" s="1"/>
  <c r="AF30" i="1"/>
  <c r="AL30" i="1"/>
  <c r="AL31" i="1" s="1"/>
  <c r="AN30" i="1"/>
  <c r="AT30" i="1"/>
  <c r="AT31" i="1" s="1"/>
  <c r="AV30" i="1"/>
  <c r="BB30" i="1"/>
  <c r="BB31" i="1" s="1"/>
  <c r="BD30" i="1"/>
  <c r="H31" i="1"/>
  <c r="P31" i="1"/>
  <c r="X31" i="1"/>
  <c r="AF31" i="1"/>
  <c r="AN31" i="1"/>
  <c r="AV31" i="1"/>
  <c r="BD31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16" i="1"/>
  <c r="C238" i="5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F32" i="1"/>
  <c r="N32" i="1"/>
  <c r="V32" i="1"/>
  <c r="AD32" i="1"/>
  <c r="AL32" i="1"/>
  <c r="AT32" i="1"/>
  <c r="BB32" i="1"/>
  <c r="G32" i="1"/>
  <c r="O32" i="1"/>
  <c r="W32" i="1"/>
  <c r="AE32" i="1"/>
  <c r="AM32" i="1"/>
  <c r="AU32" i="1"/>
  <c r="BC32" i="1"/>
  <c r="H32" i="1"/>
  <c r="P32" i="1"/>
  <c r="X32" i="1"/>
  <c r="AF32" i="1"/>
  <c r="AN32" i="1"/>
  <c r="AV32" i="1"/>
  <c r="BD32" i="1"/>
  <c r="I32" i="1"/>
  <c r="Q32" i="1"/>
  <c r="Y32" i="1"/>
  <c r="AG32" i="1"/>
  <c r="AO32" i="1"/>
  <c r="AW32" i="1"/>
  <c r="BE32" i="1"/>
  <c r="AC32" i="1"/>
  <c r="BI32" i="1"/>
  <c r="J32" i="1"/>
  <c r="R32" i="1"/>
  <c r="Z32" i="1"/>
  <c r="AH32" i="1"/>
  <c r="AP32" i="1"/>
  <c r="AX32" i="1"/>
  <c r="BF32" i="1"/>
  <c r="U32" i="1"/>
  <c r="BA32" i="1"/>
  <c r="C32" i="1"/>
  <c r="K32" i="1"/>
  <c r="S32" i="1"/>
  <c r="AA32" i="1"/>
  <c r="AI32" i="1"/>
  <c r="AQ32" i="1"/>
  <c r="AY32" i="1"/>
  <c r="BG32" i="1"/>
  <c r="E32" i="1"/>
  <c r="AK32" i="1"/>
  <c r="D32" i="1"/>
  <c r="L32" i="1"/>
  <c r="T32" i="1"/>
  <c r="AB32" i="1"/>
  <c r="AJ32" i="1"/>
  <c r="AR32" i="1"/>
  <c r="AZ32" i="1"/>
  <c r="BH32" i="1"/>
  <c r="M32" i="1"/>
  <c r="AS32" i="1"/>
  <c r="BH30" i="1" l="1"/>
  <c r="BH31" i="1" s="1"/>
  <c r="BH27" i="1"/>
  <c r="BH28" i="1" s="1"/>
  <c r="BH25" i="1"/>
  <c r="AR30" i="1"/>
  <c r="AR31" i="1" s="1"/>
  <c r="AR27" i="1"/>
  <c r="AR28" i="1" s="1"/>
  <c r="AR25" i="1"/>
  <c r="AB30" i="1"/>
  <c r="AB31" i="1" s="1"/>
  <c r="AB27" i="1"/>
  <c r="AB28" i="1" s="1"/>
  <c r="AB25" i="1"/>
  <c r="BG27" i="1"/>
  <c r="BG28" i="1" s="1"/>
  <c r="BG25" i="1"/>
  <c r="BG30" i="1"/>
  <c r="BG31" i="1" s="1"/>
  <c r="AQ27" i="1"/>
  <c r="AQ28" i="1" s="1"/>
  <c r="AQ25" i="1"/>
  <c r="AQ30" i="1"/>
  <c r="AQ31" i="1" s="1"/>
  <c r="AI27" i="1"/>
  <c r="AI28" i="1" s="1"/>
  <c r="AI30" i="1"/>
  <c r="AI31" i="1" s="1"/>
  <c r="AI25" i="1"/>
  <c r="AA27" i="1"/>
  <c r="AA28" i="1" s="1"/>
  <c r="AA25" i="1"/>
  <c r="AA30" i="1"/>
  <c r="AA31" i="1" s="1"/>
  <c r="C27" i="1"/>
  <c r="C28" i="1" s="1"/>
  <c r="C30" i="1"/>
  <c r="C31" i="1" s="1"/>
  <c r="C25" i="1"/>
  <c r="BF27" i="1"/>
  <c r="BF28" i="1" s="1"/>
  <c r="BF25" i="1"/>
  <c r="BF30" i="1"/>
  <c r="BF31" i="1" s="1"/>
  <c r="AX27" i="1"/>
  <c r="AX28" i="1" s="1"/>
  <c r="AX25" i="1"/>
  <c r="AX30" i="1"/>
  <c r="AX31" i="1" s="1"/>
  <c r="AP27" i="1"/>
  <c r="AP28" i="1" s="1"/>
  <c r="AP25" i="1"/>
  <c r="AP30" i="1"/>
  <c r="AP31" i="1" s="1"/>
  <c r="AH27" i="1"/>
  <c r="AH28" i="1" s="1"/>
  <c r="AH25" i="1"/>
  <c r="AH30" i="1"/>
  <c r="AH31" i="1" s="1"/>
  <c r="Z27" i="1"/>
  <c r="Z28" i="1" s="1"/>
  <c r="Z25" i="1"/>
  <c r="Z30" i="1"/>
  <c r="Z31" i="1" s="1"/>
  <c r="R27" i="1"/>
  <c r="R28" i="1" s="1"/>
  <c r="R25" i="1"/>
  <c r="R30" i="1"/>
  <c r="R31" i="1" s="1"/>
  <c r="J27" i="1"/>
  <c r="J28" i="1" s="1"/>
  <c r="J25" i="1"/>
  <c r="J30" i="1"/>
  <c r="J31" i="1" s="1"/>
  <c r="T30" i="1"/>
  <c r="T31" i="1" s="1"/>
  <c r="T27" i="1"/>
  <c r="T28" i="1" s="1"/>
  <c r="T25" i="1"/>
  <c r="AY27" i="1"/>
  <c r="AY28" i="1" s="1"/>
  <c r="AY30" i="1"/>
  <c r="AY31" i="1" s="1"/>
  <c r="AY25" i="1"/>
  <c r="K27" i="1"/>
  <c r="K28" i="1" s="1"/>
  <c r="K25" i="1"/>
  <c r="K30" i="1"/>
  <c r="K31" i="1" s="1"/>
  <c r="D30" i="1"/>
  <c r="D31" i="1" s="1"/>
  <c r="D27" i="1"/>
  <c r="D28" i="1" s="1"/>
  <c r="D25" i="1"/>
  <c r="AZ30" i="1"/>
  <c r="AZ31" i="1" s="1"/>
  <c r="AZ27" i="1"/>
  <c r="AZ28" i="1" s="1"/>
  <c r="AZ25" i="1"/>
  <c r="L30" i="1"/>
  <c r="L31" i="1" s="1"/>
  <c r="L27" i="1"/>
  <c r="L28" i="1" s="1"/>
  <c r="L25" i="1"/>
  <c r="S27" i="1"/>
  <c r="S28" i="1" s="1"/>
  <c r="S30" i="1"/>
  <c r="S31" i="1" s="1"/>
  <c r="S25" i="1"/>
  <c r="BI25" i="1"/>
  <c r="BI30" i="1"/>
  <c r="BI31" i="1" s="1"/>
  <c r="BI27" i="1"/>
  <c r="BI28" i="1" s="1"/>
  <c r="BA25" i="1"/>
  <c r="BA30" i="1"/>
  <c r="BA31" i="1" s="1"/>
  <c r="BA27" i="1"/>
  <c r="BA28" i="1" s="1"/>
  <c r="AS25" i="1"/>
  <c r="AS30" i="1"/>
  <c r="AS31" i="1" s="1"/>
  <c r="AS27" i="1"/>
  <c r="AS28" i="1" s="1"/>
  <c r="AK25" i="1"/>
  <c r="AK30" i="1"/>
  <c r="AK31" i="1" s="1"/>
  <c r="AK27" i="1"/>
  <c r="AK28" i="1" s="1"/>
  <c r="AC25" i="1"/>
  <c r="AC30" i="1"/>
  <c r="AC31" i="1" s="1"/>
  <c r="AC27" i="1"/>
  <c r="AC28" i="1" s="1"/>
  <c r="U25" i="1"/>
  <c r="U30" i="1"/>
  <c r="U31" i="1" s="1"/>
  <c r="U27" i="1"/>
  <c r="U28" i="1" s="1"/>
  <c r="M25" i="1"/>
  <c r="M30" i="1"/>
  <c r="M31" i="1" s="1"/>
  <c r="M27" i="1"/>
  <c r="M28" i="1" s="1"/>
  <c r="E25" i="1"/>
  <c r="E30" i="1"/>
  <c r="E31" i="1" s="1"/>
  <c r="E27" i="1"/>
  <c r="E28" i="1" s="1"/>
  <c r="AJ30" i="1"/>
  <c r="AJ31" i="1" s="1"/>
  <c r="AJ27" i="1"/>
  <c r="AJ28" i="1" s="1"/>
  <c r="AJ25" i="1"/>
  <c r="BD27" i="1"/>
  <c r="BD28" i="1" s="1"/>
  <c r="AV27" i="1"/>
  <c r="AV28" i="1" s="1"/>
  <c r="AN27" i="1"/>
  <c r="AN28" i="1" s="1"/>
  <c r="AF27" i="1"/>
  <c r="AF28" i="1" s="1"/>
  <c r="X27" i="1"/>
  <c r="X28" i="1" s="1"/>
  <c r="P27" i="1"/>
  <c r="P28" i="1" s="1"/>
  <c r="H27" i="1"/>
  <c r="H28" i="1" s="1"/>
  <c r="BE30" i="1"/>
  <c r="BE31" i="1" s="1"/>
  <c r="AW30" i="1"/>
  <c r="AW31" i="1" s="1"/>
  <c r="AO30" i="1"/>
  <c r="AO31" i="1" s="1"/>
  <c r="AG30" i="1"/>
  <c r="AG31" i="1" s="1"/>
  <c r="Y30" i="1"/>
  <c r="Y31" i="1" s="1"/>
  <c r="Q30" i="1"/>
  <c r="Q31" i="1" s="1"/>
  <c r="I30" i="1"/>
  <c r="I31" i="1" s="1"/>
  <c r="BC27" i="1"/>
  <c r="BC28" i="1" s="1"/>
  <c r="AU27" i="1"/>
  <c r="AU28" i="1" s="1"/>
  <c r="AM27" i="1"/>
  <c r="AM28" i="1" s="1"/>
  <c r="AE27" i="1"/>
  <c r="AE28" i="1" s="1"/>
  <c r="W27" i="1"/>
  <c r="W28" i="1" s="1"/>
  <c r="O27" i="1"/>
  <c r="O28" i="1" s="1"/>
  <c r="G27" i="1"/>
  <c r="G28" i="1" s="1"/>
  <c r="BC30" i="1"/>
  <c r="BC31" i="1" s="1"/>
  <c r="AU30" i="1"/>
  <c r="AU31" i="1" s="1"/>
  <c r="AM30" i="1"/>
  <c r="AM31" i="1" s="1"/>
  <c r="AE30" i="1"/>
  <c r="AE31" i="1" s="1"/>
  <c r="W30" i="1"/>
  <c r="W31" i="1" s="1"/>
  <c r="O30" i="1"/>
  <c r="O31" i="1" s="1"/>
  <c r="G30" i="1"/>
  <c r="G31" i="1" s="1"/>
  <c r="B33" i="1"/>
  <c r="B34" i="1"/>
  <c r="B17" i="1"/>
  <c r="A31" i="1"/>
  <c r="A28" i="1"/>
  <c r="A25" i="1"/>
  <c r="B32" i="1"/>
  <c r="B23" i="1" l="1"/>
  <c r="B24" i="1" s="1"/>
  <c r="B30" i="1" s="1"/>
  <c r="B31" i="1" s="1"/>
  <c r="B25" i="1" l="1"/>
  <c r="B27" i="1"/>
  <c r="B28" i="1" s="1"/>
</calcChain>
</file>

<file path=xl/sharedStrings.xml><?xml version="1.0" encoding="utf-8"?>
<sst xmlns="http://schemas.openxmlformats.org/spreadsheetml/2006/main" count="1571" uniqueCount="749">
  <si>
    <t>Plausibility Check</t>
  </si>
  <si>
    <t>Risk Comment</t>
  </si>
  <si>
    <t>High (Calculated)</t>
  </si>
  <si>
    <t>Valuation Range - High (115%)</t>
  </si>
  <si>
    <t>Low (Calculated)</t>
  </si>
  <si>
    <t>Valuation Range - Low (85%)</t>
  </si>
  <si>
    <t>Enterprise Value (Mid-point)</t>
  </si>
  <si>
    <t>Calculated Adjusted Multiple</t>
  </si>
  <si>
    <t>VALUATION OUTPUT</t>
  </si>
  <si>
    <t>Customer Concentration Adjustment</t>
  </si>
  <si>
    <t>Size Adjustment Factor</t>
  </si>
  <si>
    <t>Country Risk Factor</t>
  </si>
  <si>
    <t>BACKEND CALCULATIONS</t>
  </si>
  <si>
    <t>Top 3 Customers % (Optional)</t>
  </si>
  <si>
    <t>Number of Employees (Optional)</t>
  </si>
  <si>
    <t>EUR</t>
  </si>
  <si>
    <t>Currency</t>
  </si>
  <si>
    <t>EBIT (Operating Profit)</t>
  </si>
  <si>
    <t>Annual Revenue</t>
  </si>
  <si>
    <t>Country/Region</t>
  </si>
  <si>
    <t>Industry/Sector</t>
  </si>
  <si>
    <t>Field</t>
  </si>
  <si>
    <t>USER INPUTS</t>
  </si>
  <si>
    <t>FREE VERSION - QUICK VALUATION (3-MINUTE ANALYSIS)</t>
  </si>
  <si>
    <t>Green Cells</t>
  </si>
  <si>
    <t>Calculated Fields</t>
  </si>
  <si>
    <t>Free Version (Quick Valuation)</t>
  </si>
  <si>
    <t>Yellow Cells</t>
  </si>
  <si>
    <t>API-Fetched Data</t>
  </si>
  <si>
    <t>Blue Cells</t>
  </si>
  <si>
    <t>User Inputs</t>
  </si>
  <si>
    <t>Tapway Global - Valuation Training Dataset</t>
  </si>
  <si>
    <t>Conservative multiple - 85%</t>
  </si>
  <si>
    <t>Optimistic multiple - 115%</t>
  </si>
  <si>
    <t>=C$22*C23</t>
  </si>
  <si>
    <t>=C$22*C25</t>
  </si>
  <si>
    <t>CountryCode</t>
  </si>
  <si>
    <t>DeltaMultiple</t>
  </si>
  <si>
    <t>DE</t>
  </si>
  <si>
    <t>FR</t>
  </si>
  <si>
    <t>NL</t>
  </si>
  <si>
    <t>UK</t>
  </si>
  <si>
    <t>CZ</t>
  </si>
  <si>
    <t>HU</t>
  </si>
  <si>
    <t>RO</t>
  </si>
  <si>
    <t>RevMin_EUR</t>
  </si>
  <si>
    <t>Top3_MinPct</t>
  </si>
  <si>
    <t>Keep Top3_MinPct ascending. Same XLOOKUP(..., 1) trick.</t>
  </si>
  <si>
    <t>RateToEUR</t>
  </si>
  <si>
    <t>GBP</t>
  </si>
  <si>
    <t>USD</t>
  </si>
  <si>
    <t>CHF</t>
  </si>
  <si>
    <t>…</t>
  </si>
  <si>
    <t>Update rates periodically. (30-day average is fine for Free.)</t>
  </si>
  <si>
    <t>Data validation list from =Sector_BaseEBITMultiple[Sector]</t>
  </si>
  <si>
    <t>Details/Remarks/Calculation</t>
  </si>
  <si>
    <t>ISO code, list from =Country_DeltaMultiple[CountryCode]</t>
  </si>
  <si>
    <t>Number &gt; 0</t>
  </si>
  <si>
    <t>Number ≥ 0 and ≤ Revenue (custom rule)</t>
  </si>
  <si>
    <t>List from =FX_To_EUR[Currency]</t>
  </si>
  <si>
    <t>Number 0–100.</t>
  </si>
  <si>
    <t>FX Rate to EUR</t>
  </si>
  <si>
    <t>EBIT (EUR)</t>
  </si>
  <si>
    <t>Lookup from Table 5 - Reference Data Sheet</t>
  </si>
  <si>
    <t>Base EBIT Multiple</t>
  </si>
  <si>
    <t>Lookup from Table 1 - Reference Data Sheet</t>
  </si>
  <si>
    <t>EBIT x FX rate</t>
  </si>
  <si>
    <t>Lookup from Table 2 - Reference Data Sheet</t>
  </si>
  <si>
    <t>Lookup from Table 3 - Reference Data Sheet</t>
  </si>
  <si>
    <t>Combine all adjustment factors, 
If base multiple = 6.5, Country + Size + Concentration = 0.20 - 0.30 
6.5×(1−0.10)=5.85</t>
  </si>
  <si>
    <t>EBIT in EUR × Adjusted Multiple</t>
  </si>
  <si>
    <t>Acquisition Score (0-100)</t>
  </si>
  <si>
    <t>format as Number, 2 decimals; show “× EBIT” in UI label (not in formula)</t>
  </si>
  <si>
    <t>Conditional formatting (traffic light)</t>
  </si>
  <si>
    <t>Conditional formatting - If cell contains "Very high" or "High" → orange/red font</t>
  </si>
  <si>
    <t>Conditional formatting - 0–49 red, 50–69 amber, 70–84 green, 85–100 dark green</t>
  </si>
  <si>
    <t>Lookup from Table 4 - Reference Data Sheet</t>
  </si>
  <si>
    <t>Apple</t>
  </si>
  <si>
    <t>Microsoft</t>
  </si>
  <si>
    <t>Amazon</t>
  </si>
  <si>
    <t>Alphabet</t>
  </si>
  <si>
    <t>Meta</t>
  </si>
  <si>
    <t>Tesla</t>
  </si>
  <si>
    <t>NVIDIA</t>
  </si>
  <si>
    <t>Intel</t>
  </si>
  <si>
    <t>PepsiCo</t>
  </si>
  <si>
    <t>Nike</t>
  </si>
  <si>
    <t>Starbucks</t>
  </si>
  <si>
    <t>Costco</t>
  </si>
  <si>
    <t>IBM</t>
  </si>
  <si>
    <t>Oracle</t>
  </si>
  <si>
    <t>Qualcomm</t>
  </si>
  <si>
    <t>AMD</t>
  </si>
  <si>
    <t>ServiceNow</t>
  </si>
  <si>
    <t>PayPal</t>
  </si>
  <si>
    <t>Booking</t>
  </si>
  <si>
    <t>GM</t>
  </si>
  <si>
    <t>Target</t>
  </si>
  <si>
    <t>Lowe’s</t>
  </si>
  <si>
    <t>Unilever</t>
  </si>
  <si>
    <t>BP</t>
  </si>
  <si>
    <t>Shell</t>
  </si>
  <si>
    <t>Diageo</t>
  </si>
  <si>
    <t>HSBC</t>
  </si>
  <si>
    <t>RELX</t>
  </si>
  <si>
    <t>Ocado</t>
  </si>
  <si>
    <t>AstraZeneca</t>
  </si>
  <si>
    <t>Siemens</t>
  </si>
  <si>
    <t>SAP</t>
  </si>
  <si>
    <t>ASML</t>
  </si>
  <si>
    <t>LVMH</t>
  </si>
  <si>
    <t>TotalEnergies</t>
  </si>
  <si>
    <t>Schneider Electric</t>
  </si>
  <si>
    <t>AXA</t>
  </si>
  <si>
    <t>Sanofi</t>
  </si>
  <si>
    <t>Allianz</t>
  </si>
  <si>
    <t>BASF</t>
  </si>
  <si>
    <t>BMW</t>
  </si>
  <si>
    <t>Volkswagen</t>
  </si>
  <si>
    <t>Adidas</t>
  </si>
  <si>
    <t>Infineon</t>
  </si>
  <si>
    <t>Nokia</t>
  </si>
  <si>
    <t>Barclays</t>
  </si>
  <si>
    <t>Lloyds Banking Group</t>
  </si>
  <si>
    <t>Standard Chartered</t>
  </si>
  <si>
    <t>Vodafone</t>
  </si>
  <si>
    <t>BT Group</t>
  </si>
  <si>
    <t>Experian</t>
  </si>
  <si>
    <t>Smith &amp; Nephew</t>
  </si>
  <si>
    <t>Danone</t>
  </si>
  <si>
    <t>Heineken</t>
  </si>
  <si>
    <t>Rolls-Royce</t>
  </si>
  <si>
    <t>Airbus</t>
  </si>
  <si>
    <t>RELX Group</t>
  </si>
  <si>
    <t>Siemens Energy</t>
  </si>
  <si>
    <t>Nestlé</t>
  </si>
  <si>
    <t>sector_id</t>
  </si>
  <si>
    <t>sector_en</t>
  </si>
  <si>
    <t>sector_de</t>
  </si>
  <si>
    <t>subsector_id</t>
  </si>
  <si>
    <t>subsector_en</t>
  </si>
  <si>
    <t>subsector_de</t>
  </si>
  <si>
    <t>Subsector_Name (Updated)</t>
  </si>
  <si>
    <t>Base_EBIT_Multiple</t>
  </si>
  <si>
    <t>Target_EBIT_Margin_%</t>
  </si>
  <si>
    <t>Target_CAGR_%</t>
  </si>
  <si>
    <t>BandMin</t>
  </si>
  <si>
    <t>Score</t>
  </si>
  <si>
    <t>TECH</t>
  </si>
  <si>
    <t>Technology</t>
  </si>
  <si>
    <t>Technologie</t>
  </si>
  <si>
    <t>TECH:SaaS_B2B</t>
  </si>
  <si>
    <t>B2B SaaS</t>
  </si>
  <si>
    <t>B2Bâ€‘SaaS</t>
  </si>
  <si>
    <t>TECH:SaaS_Vert</t>
  </si>
  <si>
    <t>Vertical SaaS</t>
  </si>
  <si>
    <t>Vertikales SaaS</t>
  </si>
  <si>
    <t>TECH:IT_MSP</t>
  </si>
  <si>
    <t>IT Services &amp; Managed Services (MSP)</t>
  </si>
  <si>
    <t>ITâ€‘Dienstleistungen &amp; Managed Services (MSP)</t>
  </si>
  <si>
    <t>IT Services &amp; MSP</t>
  </si>
  <si>
    <t>TECH:Cyber</t>
  </si>
  <si>
    <t>Cybersecurity</t>
  </si>
  <si>
    <t>TECH:Cloud_Host</t>
  </si>
  <si>
    <t>Cloud &amp; Hosting</t>
  </si>
  <si>
    <t>TECH:SysInt</t>
  </si>
  <si>
    <t>Systems Integration</t>
  </si>
  <si>
    <t>Systemintegration</t>
  </si>
  <si>
    <t>TECH:Ind_SW</t>
  </si>
  <si>
    <t>Industrial Software (CAD/CAM/PLM)</t>
  </si>
  <si>
    <t>Industrielle Software (CAD/CAM/PLM)</t>
  </si>
  <si>
    <t>TECH:IoT_I40</t>
  </si>
  <si>
    <t>IoT &amp; Industry 4.0 Platforms</t>
  </si>
  <si>
    <t>IoT &amp; Industrieâ€‘4.0â€‘Plattformen</t>
  </si>
  <si>
    <t>TECH:Emb_SW</t>
  </si>
  <si>
    <t>Embedded Software</t>
  </si>
  <si>
    <t>Embeddedâ€‘Software</t>
  </si>
  <si>
    <t>TECH:Data_AI</t>
  </si>
  <si>
    <t>Data Platforms &amp; AI Tooling</t>
  </si>
  <si>
    <t>Datenplattformen &amp; KIâ€‘Tools</t>
  </si>
  <si>
    <t>TECH:EC_SW</t>
  </si>
  <si>
    <t>Eâ€‘Commerce Enablement Software</t>
  </si>
  <si>
    <t>Eâ€‘Commerceâ€‘Enablementâ€‘Software</t>
  </si>
  <si>
    <t>E-Commerce Enablement Software</t>
  </si>
  <si>
    <t>TECH:DevOps</t>
  </si>
  <si>
    <t>DevOps &amp; Developer Tools</t>
  </si>
  <si>
    <t>DevOps &amp; Entwicklerâ€‘Tools</t>
  </si>
  <si>
    <t>INDMFG</t>
  </si>
  <si>
    <t>Industrials &amp; Manufacturing</t>
  </si>
  <si>
    <t>Industrie &amp; Produktion</t>
  </si>
  <si>
    <t>INDMFG:Maschinenbau</t>
  </si>
  <si>
    <t>Machinery &amp; Equipment (Maschinenbau)</t>
  </si>
  <si>
    <t>Maschinenbau &amp; Anlagenbau</t>
  </si>
  <si>
    <t>Machinery &amp; Equipment</t>
  </si>
  <si>
    <t>INDMFG:Auto_Tier</t>
  </si>
  <si>
    <t>Automotive Suppliers (Tierâ€‘1/2/3)</t>
  </si>
  <si>
    <t>Automobilzulieferer (Tierâ€‘1/2/3)</t>
  </si>
  <si>
    <t>Automotive Suppliers (Tier-1/2/3)</t>
  </si>
  <si>
    <t>INDMFG:Automation</t>
  </si>
  <si>
    <t>Industrial Automation &amp; Robotics</t>
  </si>
  <si>
    <t>Industrieautomation &amp; Robotik</t>
  </si>
  <si>
    <t>INDMFG:Metal</t>
  </si>
  <si>
    <t>Metalworking &amp; Fabrication</t>
  </si>
  <si>
    <t>Metallbearbeitung &amp; Fertigung</t>
  </si>
  <si>
    <t>INDMFG:Plastics</t>
  </si>
  <si>
    <t>Plastics Processing (Spritzguss/Extrusion)</t>
  </si>
  <si>
    <t>Kunststoffverarbeitung (Spritzguss/Extrusion)</t>
  </si>
  <si>
    <t>Plastics Processing</t>
  </si>
  <si>
    <t>INDMFG:EMS</t>
  </si>
  <si>
    <t>Electronics Manufacturing Services (EMS)</t>
  </si>
  <si>
    <t>Elektronikfertigung (EMS)</t>
  </si>
  <si>
    <t>Electronics Manufacturing Services</t>
  </si>
  <si>
    <t>INDMFG:HVAC_Equip</t>
  </si>
  <si>
    <t>HVAC Equipment Manufacturing</t>
  </si>
  <si>
    <t>HLKâ€‘GerÃ¤tefertigung</t>
  </si>
  <si>
    <t>INDMFG:Comp_Ind</t>
  </si>
  <si>
    <t>Industrial Components (Valves/Bearings)</t>
  </si>
  <si>
    <t>Industriekomponenten (Ventile/Lager)</t>
  </si>
  <si>
    <t>INDMFG:PackMach</t>
  </si>
  <si>
    <t>Packaging &amp; Printing Machinery</t>
  </si>
  <si>
    <t>Verpackungsâ€‘ &amp; Druckmaschinen</t>
  </si>
  <si>
    <t>INDMFG:JobShop</t>
  </si>
  <si>
    <t>Contract Manufacturing / Job Shops</t>
  </si>
  <si>
    <t>Lohnfertigung / Auftragsfertiger</t>
  </si>
  <si>
    <t>INDMFG:Surface</t>
  </si>
  <si>
    <t>Surface Treatment &amp; Coating</t>
  </si>
  <si>
    <t>OberflÃ¤chenbehandlung &amp; Beschichtung</t>
  </si>
  <si>
    <t>INDMFG:Textile_Ind</t>
  </si>
  <si>
    <t>Technical Textiles</t>
  </si>
  <si>
    <t>Technische Textilien</t>
  </si>
  <si>
    <t>AUTO</t>
  </si>
  <si>
    <t>Automotive &amp; Mobility</t>
  </si>
  <si>
    <t>Automotive &amp; MobilitÃ¤t</t>
  </si>
  <si>
    <t>AUTO:Aftermarket</t>
  </si>
  <si>
    <t>Aftermarket Parts &amp; Accessories</t>
  </si>
  <si>
    <t>Aftermarketâ€‘Teile &amp; ZubehÃ¶r</t>
  </si>
  <si>
    <t>AUTO:Repair</t>
  </si>
  <si>
    <t>Auto Repair &amp; Body Shops</t>
  </si>
  <si>
    <t>Kfzâ€‘WerkstÃ¤tten &amp; Karosserie</t>
  </si>
  <si>
    <t>AUTO:Dealers</t>
  </si>
  <si>
    <t>Dealer Groups (Multiâ€‘brand)</t>
  </si>
  <si>
    <t>Autohausâ€‘Gruppen (Mehrmarke)</t>
  </si>
  <si>
    <t>Dealer Groups (Multi-brand)</t>
  </si>
  <si>
    <t>AUTO:Fleet</t>
  </si>
  <si>
    <t>Fleet Management &amp; Services</t>
  </si>
  <si>
    <t>Flottenmanagement &amp; Services</t>
  </si>
  <si>
    <t>AUTO:EV_Charge</t>
  </si>
  <si>
    <t>EV Charging Installers &amp; Ops</t>
  </si>
  <si>
    <t>Ladeinfrastrukturâ€‘Installateure &amp; Betrieb</t>
  </si>
  <si>
    <t>AUTO:Car_Rental</t>
  </si>
  <si>
    <t>Car Rental &amp; Carsharing</t>
  </si>
  <si>
    <t>Autovermietung &amp; Carsharing</t>
  </si>
  <si>
    <t>AUTO:Mobility_SW</t>
  </si>
  <si>
    <t>Mobility Software &amp; Telematics</t>
  </si>
  <si>
    <t>MobilitÃ¤tssoftware &amp; Telematik</t>
  </si>
  <si>
    <t>AUTO:Parts_Dist</t>
  </si>
  <si>
    <t>Auto Parts Distribution/Wholesale</t>
  </si>
  <si>
    <t>TeilegroÃŸhandel &amp; Distribution</t>
  </si>
  <si>
    <t>AUTO:Tire</t>
  </si>
  <si>
    <t>Tire Retail &amp; Services</t>
  </si>
  <si>
    <t>Reifenhandel &amp; Service</t>
  </si>
  <si>
    <t>AUTO:Detailing</t>
  </si>
  <si>
    <t>Auto Detailing &amp; Smart Repair</t>
  </si>
  <si>
    <t>Fahrzeugaufbereitung &amp; Smartâ€‘Repair</t>
  </si>
  <si>
    <t>AUTO:Retrofit</t>
  </si>
  <si>
    <t>Retrofit/Conversions</t>
  </si>
  <si>
    <t>Umbau &amp; NachrÃ¼stung</t>
  </si>
  <si>
    <t>AUTO:Moto</t>
  </si>
  <si>
    <t>Motorcycle Dealers &amp; Services</t>
  </si>
  <si>
    <t>Motorradhandel &amp; Service</t>
  </si>
  <si>
    <t>BUILT</t>
  </si>
  <si>
    <t>Built Environment (Construction, Building Products &amp; Real Estate)</t>
  </si>
  <si>
    <t>GebÃ¤udewelt (Bau, Baustoffe &amp; Immobilien)</t>
  </si>
  <si>
    <t>BUILT:GC</t>
  </si>
  <si>
    <t>General Contractors (Hochâ€‘/Tiefbau)</t>
  </si>
  <si>
    <t>Generalunternehmer (Hochâ€‘/Tiefbau)</t>
  </si>
  <si>
    <t>General Contractors (Hoch-/Tiefbau)</t>
  </si>
  <si>
    <t>BUILT:SHK</t>
  </si>
  <si>
    <t>HVAC/Plumbing Installers (SHK)</t>
  </si>
  <si>
    <t>SHKâ€‘Betriebe (SanitÃ¤r/Heizung/Klima)</t>
  </si>
  <si>
    <t>BUILT:Elektro</t>
  </si>
  <si>
    <t>Electrical Contractors</t>
  </si>
  <si>
    <t>Elektroinstallationen</t>
  </si>
  <si>
    <t>BUILT:Roof</t>
  </si>
  <si>
    <t>Roofing &amp; Facades</t>
  </si>
  <si>
    <t>Dach &amp; Fassade</t>
  </si>
  <si>
    <t>BUILT:Carp</t>
  </si>
  <si>
    <t>Carpentry/Joinery</t>
  </si>
  <si>
    <t>Zimmerei/Tischlerei</t>
  </si>
  <si>
    <t>BUILT:Finish</t>
  </si>
  <si>
    <t>Interior Finishing (Drywall/Paint)</t>
  </si>
  <si>
    <t>Innenausbau (Trockenbau/Malerei)</t>
  </si>
  <si>
    <t>BUILT:Windows</t>
  </si>
  <si>
    <t>Windows/Doors &amp; Facade Systems</t>
  </si>
  <si>
    <t>Fenster/TÃ¼ren &amp; Fassadensysteme</t>
  </si>
  <si>
    <t>BUILT:Floor</t>
  </si>
  <si>
    <t>Flooring &amp; Tiles</t>
  </si>
  <si>
    <t>BÃ¶den &amp; Fliesen</t>
  </si>
  <si>
    <t>BUILT:Prefab</t>
  </si>
  <si>
    <t>Modular/Prefabricated Construction</t>
  </si>
  <si>
    <t>Modulâ€‘/Fertigbau</t>
  </si>
  <si>
    <t>BUILT:FM</t>
  </si>
  <si>
    <t>Facility Management &amp; Technical FM</t>
  </si>
  <si>
    <t>Facility Management &amp; Technisches FM</t>
  </si>
  <si>
    <t>BUILT:Mat_Build</t>
  </si>
  <si>
    <t>Building Materials (Cement/Insulation)</t>
  </si>
  <si>
    <t>Baustoffe (Zement/DÃ¤mmung)</t>
  </si>
  <si>
    <t>BUILT:RE_Dev</t>
  </si>
  <si>
    <t>Real Estate Development</t>
  </si>
  <si>
    <t>Projektentwicklung</t>
  </si>
  <si>
    <t>BUILT:RE_Mgmt</t>
  </si>
  <si>
    <t>Property/Asset Management</t>
  </si>
  <si>
    <t>Immobilienverwaltung/Asset Management</t>
  </si>
  <si>
    <t>BUILT:RE_Broker</t>
  </si>
  <si>
    <t>Brokerage &amp; Valuation</t>
  </si>
  <si>
    <t>Makler &amp; Bewertung</t>
  </si>
  <si>
    <t>BUILT:PV_Carp</t>
  </si>
  <si>
    <t>Solar Rooftop Integration (B2B/B2C)</t>
  </si>
  <si>
    <t>PVâ€‘Dachintegration (B2B/B2C)</t>
  </si>
  <si>
    <t>ENERGY</t>
  </si>
  <si>
    <t>Energy &amp; Environmental Services</t>
  </si>
  <si>
    <t>Energie &amp; Umwelt</t>
  </si>
  <si>
    <t>ENERGY:PV_EPC</t>
  </si>
  <si>
    <t>Solar PV EPC</t>
  </si>
  <si>
    <t>Solarâ€‘EPC</t>
  </si>
  <si>
    <t>ENERGY:Wind_Serv</t>
  </si>
  <si>
    <t>Wind Services &amp; O&amp;M</t>
  </si>
  <si>
    <t>Windâ€‘Services &amp; O&amp;M</t>
  </si>
  <si>
    <t>ENERGY:HeatPump</t>
  </si>
  <si>
    <t>Heat Pump Installers</t>
  </si>
  <si>
    <t>WÃ¤rmepumpenâ€‘Installateure</t>
  </si>
  <si>
    <t>ENERGY:ESCO</t>
  </si>
  <si>
    <t>Energy Efficiency / ESCO</t>
  </si>
  <si>
    <t>Energieeffizienz / ESCO</t>
  </si>
  <si>
    <t>ENERGY:Grid</t>
  </si>
  <si>
    <t>Grid Services &amp; Electrical Infra</t>
  </si>
  <si>
    <t>Netzdienstleistungen &amp; Elektroâ€‘Infrastruktur</t>
  </si>
  <si>
    <t>ENERGY:Waste</t>
  </si>
  <si>
    <t>Waste Management &amp; Recycling</t>
  </si>
  <si>
    <t>Abfallwirtschaft &amp; Recycling</t>
  </si>
  <si>
    <t>ENERGY:Water</t>
  </si>
  <si>
    <t>Water Treatment</t>
  </si>
  <si>
    <t>Wasseraufbereitung</t>
  </si>
  <si>
    <t>ENERGY:Biogas</t>
  </si>
  <si>
    <t>Biogas &amp; Biomass</t>
  </si>
  <si>
    <t>Biogas &amp; Biomasse</t>
  </si>
  <si>
    <t>ENERGY:District</t>
  </si>
  <si>
    <t>District Heating/Cooling</t>
  </si>
  <si>
    <t>FernwÃ¤rme/-kÃ¤lte</t>
  </si>
  <si>
    <t>ENERGY:Env_Consult</t>
  </si>
  <si>
    <t>Environmental Consulting</t>
  </si>
  <si>
    <t>Umweltberatung</t>
  </si>
  <si>
    <t>ENERGY:PV_OandM</t>
  </si>
  <si>
    <t>Solar O&amp;M</t>
  </si>
  <si>
    <t>Solarâ€‘Betrieb &amp; Wartung</t>
  </si>
  <si>
    <t>ENERGY:Battery</t>
  </si>
  <si>
    <t>Battery Storage Integrators</t>
  </si>
  <si>
    <t>Batteriespeicherâ€‘Integratoren</t>
  </si>
  <si>
    <t>LOG</t>
  </si>
  <si>
    <t>Transportation &amp; Logistics</t>
  </si>
  <si>
    <t>Transport &amp; Logistik</t>
  </si>
  <si>
    <t>LOG:FF</t>
  </si>
  <si>
    <t>Freight Forwarding</t>
  </si>
  <si>
    <t>Spedition</t>
  </si>
  <si>
    <t>LOG:3PL</t>
  </si>
  <si>
    <t>3PL &amp; Contract Logistics</t>
  </si>
  <si>
    <t>3PL &amp; Kontraktlogistik</t>
  </si>
  <si>
    <t>LOG:LMD</t>
  </si>
  <si>
    <t>Lastâ€‘Mile Delivery</t>
  </si>
  <si>
    <t>Letzteâ€‘Meileâ€‘Zustellung</t>
  </si>
  <si>
    <t>Last-Mile Delivery</t>
  </si>
  <si>
    <t>LOG:CEP</t>
  </si>
  <si>
    <t>Courier/Express/Parcel (CEP)</t>
  </si>
  <si>
    <t>Kurier/Express/Paket (KEP)</t>
  </si>
  <si>
    <t>LOG:Road</t>
  </si>
  <si>
    <t>Road Haulage</t>
  </si>
  <si>
    <t>GÃ¼terkraftverkehr</t>
  </si>
  <si>
    <t>LOG:Ware</t>
  </si>
  <si>
    <t>Warehousing &amp; Fulfillment</t>
  </si>
  <si>
    <t>Lager &amp; Fulfillment</t>
  </si>
  <si>
    <t>LOG:Cold</t>
  </si>
  <si>
    <t>Cold Chain Logistics</t>
  </si>
  <si>
    <t>KÃ¼hlkette</t>
  </si>
  <si>
    <t>LOG:Maritime</t>
  </si>
  <si>
    <t>Maritime Agencies &amp; Services</t>
  </si>
  <si>
    <t>Schifffahrtsagenturen &amp; Dienste</t>
  </si>
  <si>
    <t>LOG:Rail</t>
  </si>
  <si>
    <t>Rail Logistics &amp; Services</t>
  </si>
  <si>
    <t>Bahnlogistik &amp; Services</t>
  </si>
  <si>
    <t>LOG:Air</t>
  </si>
  <si>
    <t>Air Cargo Handlers</t>
  </si>
  <si>
    <t>Luftfrachtabfertigung</t>
  </si>
  <si>
    <t>LOG:Customs</t>
  </si>
  <si>
    <t>Customs Brokerage</t>
  </si>
  <si>
    <t>Zollabwicklung</t>
  </si>
  <si>
    <t>LOG:eCom_Log</t>
  </si>
  <si>
    <t>Eâ€‘Commerce Logistics</t>
  </si>
  <si>
    <t>Eâ€‘Commerceâ€‘Logistik</t>
  </si>
  <si>
    <t>E-Commerce Logistics</t>
  </si>
  <si>
    <t>CONS_G</t>
  </si>
  <si>
    <t>Consumer Goods (FMCG &amp; Durables)</t>
  </si>
  <si>
    <t>KonsumgÃ¼ter (FMCG &amp; GebrauchsgÃ¼ter)</t>
  </si>
  <si>
    <t>CONS_G:FMCG</t>
  </si>
  <si>
    <t>Food &amp; Beverage Manufacturing</t>
  </si>
  <si>
    <t>Lebensmittel &amp; GetrÃ¤nkeherstellung</t>
  </si>
  <si>
    <t>CONS_G:Household</t>
  </si>
  <si>
    <t>Household &amp; Cleaning Products</t>
  </si>
  <si>
    <t>Haushaltsâ€‘ &amp; Reinigungsprodukte</t>
  </si>
  <si>
    <t>CONS_G:Personal</t>
  </si>
  <si>
    <t>Personal Care &amp; Cosmetics</t>
  </si>
  <si>
    <t>KÃ¶rperpflege &amp; Kosmetik</t>
  </si>
  <si>
    <t>CONS_G:Apparel</t>
  </si>
  <si>
    <t>Apparel &amp; Textiles</t>
  </si>
  <si>
    <t>Bekleidung &amp; Textilien</t>
  </si>
  <si>
    <t>CONS_G:Footwear</t>
  </si>
  <si>
    <t>Footwear</t>
  </si>
  <si>
    <t>Schuhe</t>
  </si>
  <si>
    <t>CONS_G:Sports</t>
  </si>
  <si>
    <t>Sporting Goods</t>
  </si>
  <si>
    <t>Sportartikel</t>
  </si>
  <si>
    <t>CONS_G:Furniture</t>
  </si>
  <si>
    <t>Furniture &amp; Home</t>
  </si>
  <si>
    <t>MÃ¶bel &amp; Wohnen</t>
  </si>
  <si>
    <t>CONS_G:CE</t>
  </si>
  <si>
    <t>Consumer Electronics Brands</t>
  </si>
  <si>
    <t>Consumer Electronics Marken</t>
  </si>
  <si>
    <t>CONS_G:Baby</t>
  </si>
  <si>
    <t>Baby &amp; Kids Products</t>
  </si>
  <si>
    <t>Babyâ€‘ &amp; Kinderprodukte</t>
  </si>
  <si>
    <t>CONS_G:Pet</t>
  </si>
  <si>
    <t>Pet Care Products</t>
  </si>
  <si>
    <t>Heimtierprodukte</t>
  </si>
  <si>
    <t>CONS_G:DIY</t>
  </si>
  <si>
    <t>DIY/Tools (nonâ€‘retail)</t>
  </si>
  <si>
    <t>DIY/Werkzeuge (nicht Handel)</t>
  </si>
  <si>
    <t>DIY/Tools (non-retail)</t>
  </si>
  <si>
    <t>CONS_G:SmokingAlt</t>
  </si>
  <si>
    <t>Nonâ€‘tobacco Nicotine Alts (legal)</t>
  </si>
  <si>
    <t>Nikotinalternativen (legal)</t>
  </si>
  <si>
    <t>Non-tobacco Nicotine Alts (legal)</t>
  </si>
  <si>
    <t>RETAIL</t>
  </si>
  <si>
    <t>Retail &amp; Eâ€‘Commerce</t>
  </si>
  <si>
    <t>Einzelhandel &amp; Eâ€‘Commerce</t>
  </si>
  <si>
    <t>RETAIL:Grocery</t>
  </si>
  <si>
    <t>Grocery &amp; Specialty Food Retail</t>
  </si>
  <si>
    <t>Lebensmittelâ€‘ &amp; Feinkosthandel</t>
  </si>
  <si>
    <t>RETAIL:Pharma_Retail</t>
  </si>
  <si>
    <t>Pharmacy &amp; Health Retail*</t>
  </si>
  <si>
    <t>Apotheken &amp; Gesundheitsfachhandel*</t>
  </si>
  <si>
    <t>Pharmacy &amp; Health Retail</t>
  </si>
  <si>
    <t>RETAIL:Electronics_R</t>
  </si>
  <si>
    <t>Consumer Electronics Retail</t>
  </si>
  <si>
    <t>Elektronikâ€‘Einzelhandel</t>
  </si>
  <si>
    <t>RETAIL:DIY_R</t>
  </si>
  <si>
    <t>DIY/Building Materials Retail</t>
  </si>
  <si>
    <t>Baumarktâ€‘Einzelhandel</t>
  </si>
  <si>
    <t>RETAIL:Fashion_R</t>
  </si>
  <si>
    <t>Fashion &amp; Footwear Retail</t>
  </si>
  <si>
    <t>Modeâ€‘ &amp; Schuhhandel</t>
  </si>
  <si>
    <t>RETAIL:Home_R</t>
  </si>
  <si>
    <t>Home &amp; Furniture Retail</t>
  </si>
  <si>
    <t>MÃ¶belâ€‘ &amp; Wohnhandel</t>
  </si>
  <si>
    <t>RETAIL:AutoParts_R</t>
  </si>
  <si>
    <t>Auto Parts Retail</t>
  </si>
  <si>
    <t>AutozubehÃ¶râ€‘Handel</t>
  </si>
  <si>
    <t>RETAIL:Ecom_D2C</t>
  </si>
  <si>
    <t>D2C Brands (Onlineâ€‘only)</t>
  </si>
  <si>
    <t>D2Câ€‘Marken (nur online)</t>
  </si>
  <si>
    <t>D2C Brands (Online-only)</t>
  </si>
  <si>
    <t>RETAIL:Marketplaces</t>
  </si>
  <si>
    <t>Niche Marketplaces</t>
  </si>
  <si>
    <t>Nischenâ€‘MarktplÃ¤tze</t>
  </si>
  <si>
    <t>RETAIL:Omni</t>
  </si>
  <si>
    <t>Omnichannel Retailers</t>
  </si>
  <si>
    <t>Omnichannelâ€‘HÃ¤ndler</t>
  </si>
  <si>
    <t>RETAIL:Optic</t>
  </si>
  <si>
    <t>Optical Retail</t>
  </si>
  <si>
    <t>Optikerâ€‘Einzelhandel</t>
  </si>
  <si>
    <t>RETAIL:Fuel</t>
  </si>
  <si>
    <t>Fuel Stations &amp; Convenience</t>
  </si>
  <si>
    <t>Tankstellen &amp; Convenience</t>
  </si>
  <si>
    <t>HEALTH</t>
  </si>
  <si>
    <t>Healthcare &amp; Life Sciences</t>
  </si>
  <si>
    <t>Gesundheit &amp; Life Sciences</t>
  </si>
  <si>
    <t>HEALTH:MVZ</t>
  </si>
  <si>
    <t>Outpatient Clinics (MVZ)</t>
  </si>
  <si>
    <t>Ambulante Praxen (MVZ)</t>
  </si>
  <si>
    <t>HEALTH:Dental</t>
  </si>
  <si>
    <t>Dental Clinics</t>
  </si>
  <si>
    <t>Zahnkliniken</t>
  </si>
  <si>
    <t>HEALTH:DentalLab</t>
  </si>
  <si>
    <t>Dental Laboratories</t>
  </si>
  <si>
    <t>Dentallabore</t>
  </si>
  <si>
    <t>HEALTH:Imaging</t>
  </si>
  <si>
    <t>Radiology &amp; Imaging Centers</t>
  </si>
  <si>
    <t>Radiologie &amp; Bildgebung</t>
  </si>
  <si>
    <t>HEALTH:Physio</t>
  </si>
  <si>
    <t>Physiotherapy &amp; Rehab</t>
  </si>
  <si>
    <t>Physiotherapie &amp; Reha</t>
  </si>
  <si>
    <t>HEALTH:Nursing</t>
  </si>
  <si>
    <t>Elderly Care/Nursing (inpatient)</t>
  </si>
  <si>
    <t>Pflegeheime (stationÃ¤r)</t>
  </si>
  <si>
    <t>HEALTH:HomeCare</t>
  </si>
  <si>
    <t>Ambulatory/Home Care</t>
  </si>
  <si>
    <t>Ambulante Pflege/Betreuung</t>
  </si>
  <si>
    <t>HEALTH:MedTech</t>
  </si>
  <si>
    <t>Medical Devices (SME)</t>
  </si>
  <si>
    <t>Medizintechnik (KMU)</t>
  </si>
  <si>
    <t>HEALTH:Pharma_SM</t>
  </si>
  <si>
    <t>Pharma Manufacturing (SME)</t>
  </si>
  <si>
    <t>Pharmaâ€‘Herstellung (KMU)</t>
  </si>
  <si>
    <t>HEALTH:CRO_CMO</t>
  </si>
  <si>
    <t>CRO/CMO (small &amp; mid)</t>
  </si>
  <si>
    <t>CRO/CMO (klein &amp; mittel)</t>
  </si>
  <si>
    <t>HEALTH:HealthIT</t>
  </si>
  <si>
    <t>Health IT &amp; Practice Software</t>
  </si>
  <si>
    <t>Healthâ€‘IT &amp; Praxissoftware</t>
  </si>
  <si>
    <t>HEALTH:Vet</t>
  </si>
  <si>
    <t>Veterinary Clinics &amp; Labs</t>
  </si>
  <si>
    <t>TierÃ¤rztliche Kliniken &amp; Labore</t>
  </si>
  <si>
    <t>BIZ</t>
  </si>
  <si>
    <t>Business &amp; Professional Services</t>
  </si>
  <si>
    <t>GeschÃ¤ftsâ€‘ &amp; Profidienstleistungen</t>
  </si>
  <si>
    <t>BIZ:Accounting</t>
  </si>
  <si>
    <t>Accounting &amp; Tax (Steuerberatung)</t>
  </si>
  <si>
    <t>Steuerberatung &amp; Buchhaltung</t>
  </si>
  <si>
    <t>BIZ:Legal</t>
  </si>
  <si>
    <t>Legal Services (Boutiques)</t>
  </si>
  <si>
    <t>Rechtsdienstleistungen (Boutiquen)</t>
  </si>
  <si>
    <t>BIZ:Consult</t>
  </si>
  <si>
    <t>Consulting Boutiques</t>
  </si>
  <si>
    <t>Beratungsboutiquen</t>
  </si>
  <si>
    <t>BIZ:Staffing</t>
  </si>
  <si>
    <t>Staffing/Recruitment</t>
  </si>
  <si>
    <t>Personalvermittlung</t>
  </si>
  <si>
    <t>BIZ:Cleaning</t>
  </si>
  <si>
    <t>Cleaning &amp; Janitorial</t>
  </si>
  <si>
    <t>GebÃ¤udereinigung</t>
  </si>
  <si>
    <t>BIZ:Security</t>
  </si>
  <si>
    <t>Security Services</t>
  </si>
  <si>
    <t>Sicherheitsdienste</t>
  </si>
  <si>
    <t>BIZ:Marketing</t>
  </si>
  <si>
    <t>Marketing &amp; Creative Agencies</t>
  </si>
  <si>
    <t>Marketingâ€‘ &amp; Kreativagenturen</t>
  </si>
  <si>
    <t>BIZ:Trans_Local</t>
  </si>
  <si>
    <t>Translation &amp; Localization</t>
  </si>
  <si>
    <t>Ãœbersetzung &amp; Lokalisierung</t>
  </si>
  <si>
    <t>BIZ:BPO</t>
  </si>
  <si>
    <t>Call Centers &amp; BPO</t>
  </si>
  <si>
    <t>Callcenter &amp; BPO</t>
  </si>
  <si>
    <t>BIZ:Doc_Mgmt</t>
  </si>
  <si>
    <t>Document/Print Management</t>
  </si>
  <si>
    <t>Dokumentenâ€‘/Printâ€‘Management</t>
  </si>
  <si>
    <t>BIZ:Ed_Corp</t>
  </si>
  <si>
    <t>Corporate Training &amp; Eâ€‘Learning</t>
  </si>
  <si>
    <t>Unternehmensschulungen &amp; Eâ€‘Learning</t>
  </si>
  <si>
    <t>Corporate Training &amp; E-Learning</t>
  </si>
  <si>
    <t>BIZ:Events</t>
  </si>
  <si>
    <t>Events &amp; Exhibitions Services</t>
  </si>
  <si>
    <t>Eventâ€‘ &amp; Messeâ€‘Services</t>
  </si>
  <si>
    <t>FIN</t>
  </si>
  <si>
    <t>Financial Services</t>
  </si>
  <si>
    <t>Finanzdienstleistungen</t>
  </si>
  <si>
    <t>FIN:WM</t>
  </si>
  <si>
    <t>Wealth/Asset Management Boutiques</t>
  </si>
  <si>
    <t>VermÃ¶gens-/Assetâ€‘Manager (Boutiquen)</t>
  </si>
  <si>
    <t>FIN:Ins_Broker</t>
  </si>
  <si>
    <t>Insurance Brokerage (Makler)</t>
  </si>
  <si>
    <t>Versicherungsmakler</t>
  </si>
  <si>
    <t>FIN:Leasing</t>
  </si>
  <si>
    <t>Leasing &amp; Factoring</t>
  </si>
  <si>
    <t>FIN:PSP</t>
  </si>
  <si>
    <t>Payment Service Providers (SME)</t>
  </si>
  <si>
    <t>Zahlungsdienstleister (KMU)</t>
  </si>
  <si>
    <t>FIN:Fin_Lend</t>
  </si>
  <si>
    <t>Fintech Lending/Invoice Finance</t>
  </si>
  <si>
    <t>Fintechâ€‘Kredite/Factoringâ€‘Plattformen</t>
  </si>
  <si>
    <t>FIN:Corp_Serv</t>
  </si>
  <si>
    <t>Corporate Services/Trust</t>
  </si>
  <si>
    <t>Corporate Services/Treuhand</t>
  </si>
  <si>
    <t>FIN:FX</t>
  </si>
  <si>
    <t>FX &amp; Brokerage (MiFID firms)</t>
  </si>
  <si>
    <t>FX &amp; Brokerage (MiFID)</t>
  </si>
  <si>
    <t>FIN:ATM_Cash</t>
  </si>
  <si>
    <t>Cash Handling &amp; ATM Ops</t>
  </si>
  <si>
    <t>Bargeldlogistik &amp; ATMâ€‘Betrieb</t>
  </si>
  <si>
    <t>FIN:RegTech</t>
  </si>
  <si>
    <t>RegTech &amp; Compliance Services</t>
  </si>
  <si>
    <t>RegTech &amp; Complianceâ€‘Services</t>
  </si>
  <si>
    <t>FIN:PSV</t>
  </si>
  <si>
    <t>Pension/Benefits Admin (SME)</t>
  </si>
  <si>
    <t>BAV/Benefitsâ€‘Administration (KMU)</t>
  </si>
  <si>
    <t>MEDIA</t>
  </si>
  <si>
    <t>Media, Telecom &amp; Communications</t>
  </si>
  <si>
    <t>Medien, Telekom &amp; Kommunikation</t>
  </si>
  <si>
    <t>MEDIA:Digital_Ag</t>
  </si>
  <si>
    <t>Digital Media/Performance Agencies</t>
  </si>
  <si>
    <t>Digitalâ€‘/Performanceâ€‘Agenturen</t>
  </si>
  <si>
    <t>MEDIA:Publish</t>
  </si>
  <si>
    <t>Publishers &amp; Niche Media</t>
  </si>
  <si>
    <t>Verlage &amp; Nischenmedien</t>
  </si>
  <si>
    <t>MEDIA:OOH</t>
  </si>
  <si>
    <t>Outâ€‘ofâ€‘Home Advertising</t>
  </si>
  <si>
    <t>AuÃŸenwerbung</t>
  </si>
  <si>
    <t>Out-of-Home Advertising</t>
  </si>
  <si>
    <t>MEDIA:Prod_Post</t>
  </si>
  <si>
    <t>Production &amp; Postâ€‘Production</t>
  </si>
  <si>
    <t>Produktion &amp; Postproduktion</t>
  </si>
  <si>
    <t>Production &amp; Post-Production</t>
  </si>
  <si>
    <t>MEDIA:ISP</t>
  </si>
  <si>
    <t>ISPs &amp; Regional Telecoms</t>
  </si>
  <si>
    <t>ISPs &amp; regionale Telekoms</t>
  </si>
  <si>
    <t>MEDIA:Fiber</t>
  </si>
  <si>
    <t>Fiber Rollout &amp; Installers</t>
  </si>
  <si>
    <t>Glasfaserâ€‘Ausbau &amp; Installateure</t>
  </si>
  <si>
    <t>MEDIA:UC</t>
  </si>
  <si>
    <t>Unified Communications/VoIP</t>
  </si>
  <si>
    <t>MEDIA:DataCtr</t>
  </si>
  <si>
    <t>Edge/Regional Data Centers</t>
  </si>
  <si>
    <t>Edge/Regionale Rechenzentren</t>
  </si>
  <si>
    <t>MEDIA:Sat_Comm</t>
  </si>
  <si>
    <t>Satellite &amp; RF Services (SME)</t>
  </si>
  <si>
    <t>Satellit &amp; Funkdienste (KMU)</t>
  </si>
  <si>
    <t>MEDIA:Gaming_S</t>
  </si>
  <si>
    <t>Gaming Studios (SME)</t>
  </si>
  <si>
    <t>Gamingâ€‘Studios (KMU)</t>
  </si>
  <si>
    <t>AGRI</t>
  </si>
  <si>
    <t>Agriculture &amp; Food Supply</t>
  </si>
  <si>
    <t>Landwirtschaft &amp; Lebensmittel</t>
  </si>
  <si>
    <t>AGRI:Farming</t>
  </si>
  <si>
    <t>Crop &amp; Mixed Farming</t>
  </si>
  <si>
    <t>Ackerbau &amp; Mischbetriebe</t>
  </si>
  <si>
    <t>AGRI:Hortic</t>
  </si>
  <si>
    <t>Greenhouses &amp; Horticulture</t>
  </si>
  <si>
    <t>GewÃ¤chshaus &amp; Gartenbau</t>
  </si>
  <si>
    <t>AGRI:Livestock</t>
  </si>
  <si>
    <t>Livestock &amp; Poultry</t>
  </si>
  <si>
    <t>Viehzucht &amp; GeflÃ¼gel</t>
  </si>
  <si>
    <t>AGRI:Dairy</t>
  </si>
  <si>
    <t>Dairy Farms &amp; Processing</t>
  </si>
  <si>
    <t>Milchbetriebe &amp; Verarbeitung</t>
  </si>
  <si>
    <t>AGRI:FoodProc</t>
  </si>
  <si>
    <t>Food Processing (Meat/Bakery/etc.)</t>
  </si>
  <si>
    <t>Lebensmittelverarbeitung (Fleisch/BÃ¤ckerei/â€¦)</t>
  </si>
  <si>
    <t>AGRI:Brew</t>
  </si>
  <si>
    <t>Breweries &amp; Beverage Producers</t>
  </si>
  <si>
    <t>Brauereien &amp; GetrÃ¤nkehersteller</t>
  </si>
  <si>
    <t>AGRI:Wholesale</t>
  </si>
  <si>
    <t>Food Wholesale &amp; Distribution</t>
  </si>
  <si>
    <t>Lebensmittelâ€‘GroÃŸhandel &amp; Distribution</t>
  </si>
  <si>
    <t>AGRI:Cold_Stor</t>
  </si>
  <si>
    <t>Cold Storage</t>
  </si>
  <si>
    <t>KÃ¼hlhÃ¤user</t>
  </si>
  <si>
    <t>AGRI:Organic</t>
  </si>
  <si>
    <t>Organic &amp; Specialty Foods</t>
  </si>
  <si>
    <t>Bio &amp; SpezialitÃ¤ten</t>
  </si>
  <si>
    <t>AGRI:AgriTech</t>
  </si>
  <si>
    <t>AgriTech &amp; Farm Equipment</t>
  </si>
  <si>
    <t>AgriTech &amp; Landtechnik</t>
  </si>
  <si>
    <t>CHEM</t>
  </si>
  <si>
    <t>Chemicals &amp; Materials</t>
  </si>
  <si>
    <t>Chemie &amp; Werkstoffe</t>
  </si>
  <si>
    <t>CHEM:Spec_Chem</t>
  </si>
  <si>
    <t>Specialty Chemicals</t>
  </si>
  <si>
    <t>Spezialchemie</t>
  </si>
  <si>
    <t>CHEM:Paints</t>
  </si>
  <si>
    <t>Paints, Coatings &amp; Inks</t>
  </si>
  <si>
    <t>Farben, Lacke &amp; Druckfarben</t>
  </si>
  <si>
    <t>CHEM:Adhesive</t>
  </si>
  <si>
    <t>Adhesives &amp; Sealants</t>
  </si>
  <si>
    <t>Klebstoffe &amp; Dichtmassen</t>
  </si>
  <si>
    <t>CHEM:Rubber</t>
  </si>
  <si>
    <t>Rubber &amp; Elastomers</t>
  </si>
  <si>
    <t>Kautschuk &amp; Elastomere</t>
  </si>
  <si>
    <t>CHEM:Composites</t>
  </si>
  <si>
    <t>Composites &amp; Advanced Materials</t>
  </si>
  <si>
    <t>Komposite &amp; Hochleistungswerkstoffe</t>
  </si>
  <si>
    <t>CHEM:Gases</t>
  </si>
  <si>
    <t>Industrial Gases (distributors)</t>
  </si>
  <si>
    <t>Industriegase (Handel)</t>
  </si>
  <si>
    <t>CHEM:Recycling_Mat</t>
  </si>
  <si>
    <t>Materials Recycling &amp; Recovery</t>
  </si>
  <si>
    <t>Werkstoffrecycling</t>
  </si>
  <si>
    <t>CHEM:PaperPack</t>
  </si>
  <si>
    <t>Paper &amp; Packaging Materials</t>
  </si>
  <si>
    <t>Papier &amp; Verpackungswerkstoffe</t>
  </si>
  <si>
    <t>CHEM:Chem_Dist</t>
  </si>
  <si>
    <t>Chemical Distribution</t>
  </si>
  <si>
    <t>Chemikalienhandel</t>
  </si>
  <si>
    <t>CHEM:Lab_Sup</t>
  </si>
  <si>
    <t>Lab Supplies &amp; Reagents</t>
  </si>
  <si>
    <t>Laborbedarf &amp; Reagenzien</t>
  </si>
  <si>
    <t>HOSP</t>
  </si>
  <si>
    <t>Hospitality &amp; Leisure</t>
  </si>
  <si>
    <t>Gastgewerbe &amp; Freizeit</t>
  </si>
  <si>
    <t>HOSP:Hotels</t>
  </si>
  <si>
    <t>Hotels &amp; Boutique Lodging</t>
  </si>
  <si>
    <t>Hotels &amp; Boutiqueâ€‘UnterkÃ¼nfte</t>
  </si>
  <si>
    <t>HOSP:Restaurants</t>
  </si>
  <si>
    <t>Restaurant Groups &amp; QSR</t>
  </si>
  <si>
    <t>Restaurantketten &amp; QSR</t>
  </si>
  <si>
    <t>HOSP:Catering</t>
  </si>
  <si>
    <t>Catering &amp; Foodservice</t>
  </si>
  <si>
    <t>Catering &amp; Gemeinschaftsverpflegung</t>
  </si>
  <si>
    <t>HOSP:Travel</t>
  </si>
  <si>
    <t>Travel Agencies &amp; Tour Ops</t>
  </si>
  <si>
    <t>ReisebÃ¼ros &amp; Veranstalter</t>
  </si>
  <si>
    <t>HOSP:Fitness</t>
  </si>
  <si>
    <t>Fitness &amp; Wellness</t>
  </si>
  <si>
    <t>HOSP:Leisure</t>
  </si>
  <si>
    <t>Leisure Parks &amp; Attractions</t>
  </si>
  <si>
    <t>Freizeitparks &amp; Attraktionen</t>
  </si>
  <si>
    <t>HOSP:Events_Ven</t>
  </si>
  <si>
    <t>Venues &amp; Conference Centers</t>
  </si>
  <si>
    <t>Veranstaltungsorte &amp; Kongresszentren</t>
  </si>
  <si>
    <t>HOSP:Hospitality_Tech</t>
  </si>
  <si>
    <t>Hospitality Tech/Reservation SW</t>
  </si>
  <si>
    <t>Hospitalityâ€‘Tech/Reservierungssoftware</t>
  </si>
  <si>
    <t>HOSP:Vending</t>
  </si>
  <si>
    <t>Vending &amp; Microâ€‘Markets</t>
  </si>
  <si>
    <t>Vending &amp; Micro-Markets</t>
  </si>
  <si>
    <t>HOSP:Laundry</t>
  </si>
  <si>
    <t>Industrial Laundry Services</t>
  </si>
  <si>
    <t>Industrielle WÃ¤schereien</t>
  </si>
  <si>
    <t>Country_DeltaMultiple</t>
  </si>
  <si>
    <t>US</t>
  </si>
  <si>
    <t>FI</t>
  </si>
  <si>
    <t>CH</t>
  </si>
  <si>
    <t>Size_DeltaMultiple (banded by Revenue in EUR, use ONLY a RevMin_EUR column)</t>
  </si>
  <si>
    <t>Conc_DeltaMultiple (banded by Top-3 %, use ONLY a Top3_MinPct column)</t>
  </si>
  <si>
    <t>FX_To_EUR</t>
  </si>
  <si>
    <t>Deal_SizeBands (EV size → size subscore)</t>
  </si>
  <si>
    <t>EV_Min_EUR</t>
  </si>
  <si>
    <t>SizeScore</t>
  </si>
  <si>
    <t>Credit_Ratings</t>
  </si>
  <si>
    <t>Rating</t>
  </si>
  <si>
    <t>AA+</t>
  </si>
  <si>
    <t>AAA</t>
  </si>
  <si>
    <t>AA-</t>
  </si>
  <si>
    <t>A+</t>
  </si>
  <si>
    <t>BBB</t>
  </si>
  <si>
    <t>BBB+</t>
  </si>
  <si>
    <t>A</t>
  </si>
  <si>
    <t>A-</t>
  </si>
  <si>
    <t>BBB-</t>
  </si>
  <si>
    <t>B</t>
  </si>
  <si>
    <t>AA</t>
  </si>
  <si>
    <t>BB+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</si>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</sst>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2" fontId="1" fillId="5" borderId="0" xfId="0" applyNumberFormat="1" applyFont="1" applyFill="1" applyAlignment="1">
      <alignment horizontal="left" vertical="center" wrapText="1"/>
    </xf>
    <xf numFmtId="3" fontId="1" fillId="8" borderId="0" xfId="0" applyNumberFormat="1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left" vertical="center" wrapText="1"/>
    </xf>
    <xf numFmtId="9" fontId="1" fillId="0" borderId="0" xfId="0" applyNumberFormat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1" fillId="0" borderId="1" xfId="1" applyFont="1" applyBorder="1"/>
    <xf numFmtId="0" fontId="1" fillId="0" borderId="0" xfId="1" applyFont="1"/>
    <xf numFmtId="0" fontId="3" fillId="0" borderId="0" xfId="1" applyFont="1" applyBorder="1" applyAlignment="1">
      <alignment horizontal="left"/>
    </xf>
    <xf numFmtId="0" fontId="1" fillId="0" borderId="0" xfId="1" applyFont="1" applyBorder="1" applyAlignment="1">
      <alignment horizontal="right"/>
    </xf>
    <xf numFmtId="0" fontId="1" fillId="0" borderId="0" xfId="1" applyFont="1" applyBorder="1"/>
    <xf numFmtId="0" fontId="8" fillId="0" borderId="0" xfId="2" applyFont="1"/>
    <xf numFmtId="0" fontId="8" fillId="0" borderId="0" xfId="2" applyFont="1" applyAlignment="1">
      <alignment horizontal="center" vertical="center"/>
    </xf>
    <xf numFmtId="0" fontId="9" fillId="0" borderId="0" xfId="2"/>
    <xf numFmtId="0" fontId="9" fillId="0" borderId="0" xfId="2" applyAlignment="1">
      <alignment vertic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wrapText="1"/>
    </xf>
    <xf numFmtId="0" fontId="1" fillId="0" borderId="0" xfId="1" applyFont="1" applyAlignment="1">
      <alignment horizontal="right" vertical="center" wrapText="1"/>
    </xf>
    <xf numFmtId="3" fontId="1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right" vertical="center" wrapText="1"/>
    </xf>
    <xf numFmtId="0" fontId="1" fillId="0" borderId="0" xfId="2" applyFont="1" applyAlignment="1">
      <alignment horizontal="left" vertical="center" wrapText="1"/>
    </xf>
    <xf numFmtId="0" fontId="1" fillId="0" borderId="0" xfId="2" applyFont="1" applyAlignment="1">
      <alignment horizontal="right" vertical="center" wrapText="1"/>
    </xf>
    <xf numFmtId="3" fontId="1" fillId="0" borderId="0" xfId="2" applyNumberFormat="1" applyFont="1" applyAlignment="1">
      <alignment horizontal="left" vertical="center" wrapText="1"/>
    </xf>
    <xf numFmtId="0" fontId="1" fillId="6" borderId="0" xfId="0" applyFont="1" applyFill="1" applyBorder="1" applyAlignment="1">
      <alignment horizontal="left" vertical="center" wrapText="1"/>
    </xf>
    <xf numFmtId="3" fontId="1" fillId="6" borderId="0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9"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fgColor rgb="FFDFF0D8"/>
        </patternFill>
      </fill>
    </dxf>
    <dxf>
      <fill>
        <patternFill>
          <bgColor rgb="FFFCF8E3"/>
        </patternFill>
      </fill>
    </dxf>
    <dxf>
      <fill>
        <patternFill>
          <bgColor rgb="FFF2DEDE"/>
        </patternFill>
      </fill>
    </dxf>
    <dxf>
      <fill>
        <patternFill>
          <bgColor rgb="FFDFF0D8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FF0D8"/>
      <color rgb="FFF2DEDE"/>
      <color rgb="FFFCF8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K34"/>
  <sheetViews>
    <sheetView showGridLines="0" workbookViewId="0">
      <pane xSplit="1" ySplit="6" topLeftCell="B7" activePane="bottomRight" state="frozen"/>
      <selection activeCell="B72" sqref="B72"/>
      <selection pane="topRight" activeCell="B72" sqref="B72"/>
      <selection pane="bottomLeft" activeCell="B72" sqref="B72"/>
      <selection pane="bottomRight" activeCell="B7" sqref="B7"/>
    </sheetView>
  </sheetViews>
  <sheetFormatPr defaultColWidth="9.09765625" defaultRowHeight="13.8"/>
  <cols>
    <col min="1" max="1" width="36.59765625" style="2" bestFit="1" customWidth="1"/>
    <col min="2" max="61" width="25.69921875" style="2" customWidth="1"/>
    <col min="62" max="62" width="39" style="2" customWidth="1"/>
    <col min="63" max="16384" width="9.09765625" style="2"/>
  </cols>
  <sheetData>
    <row r="1" spans="1:62" s="20" customFormat="1">
      <c r="A1" s="5" t="s">
        <v>31</v>
      </c>
      <c r="B1" s="2" t="s">
        <v>30</v>
      </c>
      <c r="C1" s="4" t="s">
        <v>29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</row>
    <row r="2" spans="1:62" s="20" customFormat="1">
      <c r="A2" s="2"/>
      <c r="B2" s="2" t="s">
        <v>28</v>
      </c>
      <c r="C2" s="3" t="s">
        <v>27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</row>
    <row r="3" spans="1:62" s="20" customFormat="1">
      <c r="A3" s="7" t="s">
        <v>26</v>
      </c>
      <c r="B3" s="2" t="s">
        <v>25</v>
      </c>
      <c r="C3" s="1" t="s">
        <v>24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</row>
    <row r="5" spans="1:62" ht="12.75" customHeight="1">
      <c r="A5" s="8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62">
      <c r="A6" s="9" t="s">
        <v>22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5" t="s">
        <v>55</v>
      </c>
    </row>
    <row r="7" spans="1:62">
      <c r="A7" s="10" t="s">
        <v>21</v>
      </c>
      <c r="B7" s="10" t="s">
        <v>77</v>
      </c>
      <c r="C7" s="10" t="s">
        <v>78</v>
      </c>
      <c r="D7" s="10" t="s">
        <v>79</v>
      </c>
      <c r="E7" s="10" t="s">
        <v>80</v>
      </c>
      <c r="F7" s="10" t="s">
        <v>81</v>
      </c>
      <c r="G7" s="10" t="s">
        <v>82</v>
      </c>
      <c r="H7" s="10" t="s">
        <v>83</v>
      </c>
      <c r="I7" s="10" t="s">
        <v>84</v>
      </c>
      <c r="J7" s="10" t="s">
        <v>85</v>
      </c>
      <c r="K7" s="10" t="s">
        <v>86</v>
      </c>
      <c r="L7" s="10" t="s">
        <v>87</v>
      </c>
      <c r="M7" s="10" t="s">
        <v>88</v>
      </c>
      <c r="N7" s="10" t="s">
        <v>89</v>
      </c>
      <c r="O7" s="10" t="s">
        <v>90</v>
      </c>
      <c r="P7" s="10" t="s">
        <v>91</v>
      </c>
      <c r="Q7" s="10" t="s">
        <v>92</v>
      </c>
      <c r="R7" s="10" t="s">
        <v>93</v>
      </c>
      <c r="S7" s="10" t="s">
        <v>94</v>
      </c>
      <c r="T7" s="10" t="s">
        <v>95</v>
      </c>
      <c r="U7" s="10" t="s">
        <v>96</v>
      </c>
      <c r="V7" s="10" t="s">
        <v>97</v>
      </c>
      <c r="W7" s="10" t="s">
        <v>98</v>
      </c>
      <c r="X7" s="10" t="s">
        <v>99</v>
      </c>
      <c r="Y7" s="10" t="s">
        <v>100</v>
      </c>
      <c r="Z7" s="10" t="s">
        <v>101</v>
      </c>
      <c r="AA7" s="10" t="s">
        <v>102</v>
      </c>
      <c r="AB7" s="10" t="s">
        <v>103</v>
      </c>
      <c r="AC7" s="10" t="s">
        <v>104</v>
      </c>
      <c r="AD7" s="10" t="s">
        <v>105</v>
      </c>
      <c r="AE7" s="10" t="s">
        <v>106</v>
      </c>
      <c r="AF7" s="10" t="s">
        <v>107</v>
      </c>
      <c r="AG7" s="10" t="s">
        <v>108</v>
      </c>
      <c r="AH7" s="10" t="s">
        <v>109</v>
      </c>
      <c r="AI7" s="10" t="s">
        <v>110</v>
      </c>
      <c r="AJ7" s="10" t="s">
        <v>111</v>
      </c>
      <c r="AK7" s="10" t="s">
        <v>112</v>
      </c>
      <c r="AL7" s="10" t="s">
        <v>113</v>
      </c>
      <c r="AM7" s="10" t="s">
        <v>114</v>
      </c>
      <c r="AN7" s="10" t="s">
        <v>115</v>
      </c>
      <c r="AO7" s="10" t="s">
        <v>116</v>
      </c>
      <c r="AP7" s="10" t="s">
        <v>117</v>
      </c>
      <c r="AQ7" s="10" t="s">
        <v>118</v>
      </c>
      <c r="AR7" s="10" t="s">
        <v>119</v>
      </c>
      <c r="AS7" s="10" t="s">
        <v>120</v>
      </c>
      <c r="AT7" s="10" t="s">
        <v>121</v>
      </c>
      <c r="AU7" s="10" t="s">
        <v>122</v>
      </c>
      <c r="AV7" s="10" t="s">
        <v>123</v>
      </c>
      <c r="AW7" s="10" t="s">
        <v>124</v>
      </c>
      <c r="AX7" s="10" t="s">
        <v>125</v>
      </c>
      <c r="AY7" s="10" t="s">
        <v>126</v>
      </c>
      <c r="AZ7" s="10" t="s">
        <v>127</v>
      </c>
      <c r="BA7" s="10" t="s">
        <v>128</v>
      </c>
      <c r="BB7" s="10" t="s">
        <v>129</v>
      </c>
      <c r="BC7" s="10" t="s">
        <v>130</v>
      </c>
      <c r="BD7" s="10" t="s">
        <v>131</v>
      </c>
      <c r="BE7" s="10" t="s">
        <v>132</v>
      </c>
      <c r="BF7" s="10" t="s">
        <v>104</v>
      </c>
      <c r="BG7" s="10" t="s">
        <v>133</v>
      </c>
      <c r="BH7" s="10" t="s">
        <v>134</v>
      </c>
      <c r="BI7" s="10" t="s">
        <v>135</v>
      </c>
    </row>
    <row r="8" spans="1:62" ht="27.6">
      <c r="A8" s="10" t="s">
        <v>20</v>
      </c>
      <c r="B8" s="49" t="s">
        <v>424</v>
      </c>
      <c r="C8" s="49" t="s">
        <v>164</v>
      </c>
      <c r="D8" s="49" t="s">
        <v>398</v>
      </c>
      <c r="E8" s="49" t="s">
        <v>178</v>
      </c>
      <c r="F8" s="49" t="s">
        <v>596</v>
      </c>
      <c r="G8" s="49" t="s">
        <v>197</v>
      </c>
      <c r="H8" s="49" t="s">
        <v>175</v>
      </c>
      <c r="I8" s="49" t="s">
        <v>175</v>
      </c>
      <c r="J8" s="49" t="s">
        <v>403</v>
      </c>
      <c r="K8" s="49" t="s">
        <v>412</v>
      </c>
      <c r="L8" s="49" t="s">
        <v>699</v>
      </c>
      <c r="M8" s="49" t="s">
        <v>473</v>
      </c>
      <c r="N8" s="49" t="s">
        <v>160</v>
      </c>
      <c r="O8" s="49" t="s">
        <v>178</v>
      </c>
      <c r="P8" s="49" t="s">
        <v>175</v>
      </c>
      <c r="Q8" s="49" t="s">
        <v>175</v>
      </c>
      <c r="R8" s="49" t="s">
        <v>152</v>
      </c>
      <c r="S8" s="49" t="s">
        <v>572</v>
      </c>
      <c r="T8" s="49" t="s">
        <v>705</v>
      </c>
      <c r="U8" s="49" t="s">
        <v>197</v>
      </c>
      <c r="V8" s="49" t="s">
        <v>473</v>
      </c>
      <c r="W8" s="49" t="s">
        <v>454</v>
      </c>
      <c r="X8" s="49" t="s">
        <v>406</v>
      </c>
      <c r="Y8" s="49" t="s">
        <v>479</v>
      </c>
      <c r="Z8" s="49" t="s">
        <v>479</v>
      </c>
      <c r="AA8" s="49" t="s">
        <v>645</v>
      </c>
      <c r="AB8" s="49" t="s">
        <v>581</v>
      </c>
      <c r="AC8" s="49" t="s">
        <v>599</v>
      </c>
      <c r="AD8" s="49" t="s">
        <v>398</v>
      </c>
      <c r="AE8" s="49" t="s">
        <v>509</v>
      </c>
      <c r="AF8" s="49" t="s">
        <v>199</v>
      </c>
      <c r="AG8" s="49" t="s">
        <v>155</v>
      </c>
      <c r="AH8" s="49" t="s">
        <v>193</v>
      </c>
      <c r="AI8" s="49" t="s">
        <v>409</v>
      </c>
      <c r="AJ8" s="49" t="s">
        <v>479</v>
      </c>
      <c r="AK8" s="49" t="s">
        <v>199</v>
      </c>
      <c r="AL8" s="49" t="s">
        <v>567</v>
      </c>
      <c r="AM8" s="49" t="s">
        <v>509</v>
      </c>
      <c r="AN8" s="49" t="s">
        <v>567</v>
      </c>
      <c r="AO8" s="49" t="s">
        <v>663</v>
      </c>
      <c r="AP8" s="49" t="s">
        <v>197</v>
      </c>
      <c r="AQ8" s="49" t="s">
        <v>197</v>
      </c>
      <c r="AR8" s="49" t="s">
        <v>418</v>
      </c>
      <c r="AS8" s="49" t="s">
        <v>175</v>
      </c>
      <c r="AT8" s="49" t="s">
        <v>610</v>
      </c>
      <c r="AU8" s="49" t="s">
        <v>581</v>
      </c>
      <c r="AV8" s="49" t="s">
        <v>581</v>
      </c>
      <c r="AW8" s="49" t="s">
        <v>581</v>
      </c>
      <c r="AX8" s="49" t="s">
        <v>610</v>
      </c>
      <c r="AY8" s="49" t="s">
        <v>610</v>
      </c>
      <c r="AZ8" s="49" t="s">
        <v>178</v>
      </c>
      <c r="BA8" s="49" t="s">
        <v>506</v>
      </c>
      <c r="BB8" s="49" t="s">
        <v>403</v>
      </c>
      <c r="BC8" s="49" t="s">
        <v>645</v>
      </c>
      <c r="BD8" s="49" t="s">
        <v>193</v>
      </c>
      <c r="BE8" s="49" t="s">
        <v>193</v>
      </c>
      <c r="BF8" s="49" t="s">
        <v>599</v>
      </c>
      <c r="BG8" s="49" t="s">
        <v>599</v>
      </c>
      <c r="BH8" s="49" t="s">
        <v>335</v>
      </c>
      <c r="BI8" s="49" t="s">
        <v>403</v>
      </c>
      <c r="BJ8" s="2" t="s">
        <v>54</v>
      </c>
    </row>
    <row r="9" spans="1:62">
      <c r="A9" s="10" t="s">
        <v>19</v>
      </c>
      <c r="B9" s="49" t="s">
        <v>725</v>
      </c>
      <c r="C9" s="49" t="s">
        <v>725</v>
      </c>
      <c r="D9" s="49" t="s">
        <v>725</v>
      </c>
      <c r="E9" s="49" t="s">
        <v>725</v>
      </c>
      <c r="F9" s="49" t="s">
        <v>725</v>
      </c>
      <c r="G9" s="49" t="s">
        <v>725</v>
      </c>
      <c r="H9" s="49" t="s">
        <v>725</v>
      </c>
      <c r="I9" s="49" t="s">
        <v>725</v>
      </c>
      <c r="J9" s="49" t="s">
        <v>725</v>
      </c>
      <c r="K9" s="49" t="s">
        <v>725</v>
      </c>
      <c r="L9" s="49" t="s">
        <v>725</v>
      </c>
      <c r="M9" s="49" t="s">
        <v>725</v>
      </c>
      <c r="N9" s="49" t="s">
        <v>725</v>
      </c>
      <c r="O9" s="49" t="s">
        <v>725</v>
      </c>
      <c r="P9" s="49" t="s">
        <v>725</v>
      </c>
      <c r="Q9" s="49" t="s">
        <v>725</v>
      </c>
      <c r="R9" s="49" t="s">
        <v>725</v>
      </c>
      <c r="S9" s="49" t="s">
        <v>725</v>
      </c>
      <c r="T9" s="49" t="s">
        <v>725</v>
      </c>
      <c r="U9" s="49" t="s">
        <v>725</v>
      </c>
      <c r="V9" s="49" t="s">
        <v>725</v>
      </c>
      <c r="W9" s="49" t="s">
        <v>725</v>
      </c>
      <c r="X9" s="49" t="s">
        <v>41</v>
      </c>
      <c r="Y9" s="49" t="s">
        <v>41</v>
      </c>
      <c r="Z9" s="49" t="s">
        <v>40</v>
      </c>
      <c r="AA9" s="49" t="s">
        <v>41</v>
      </c>
      <c r="AB9" s="49" t="s">
        <v>41</v>
      </c>
      <c r="AC9" s="49" t="s">
        <v>41</v>
      </c>
      <c r="AD9" s="49" t="s">
        <v>41</v>
      </c>
      <c r="AE9" s="49" t="s">
        <v>41</v>
      </c>
      <c r="AF9" s="49" t="s">
        <v>38</v>
      </c>
      <c r="AG9" s="49" t="s">
        <v>38</v>
      </c>
      <c r="AH9" s="49" t="s">
        <v>40</v>
      </c>
      <c r="AI9" s="49" t="s">
        <v>39</v>
      </c>
      <c r="AJ9" s="49" t="s">
        <v>39</v>
      </c>
      <c r="AK9" s="49" t="s">
        <v>39</v>
      </c>
      <c r="AL9" s="49" t="s">
        <v>39</v>
      </c>
      <c r="AM9" s="49" t="s">
        <v>39</v>
      </c>
      <c r="AN9" s="49" t="s">
        <v>38</v>
      </c>
      <c r="AO9" s="49" t="s">
        <v>38</v>
      </c>
      <c r="AP9" s="49" t="s">
        <v>38</v>
      </c>
      <c r="AQ9" s="49" t="s">
        <v>38</v>
      </c>
      <c r="AR9" s="49" t="s">
        <v>38</v>
      </c>
      <c r="AS9" s="49" t="s">
        <v>38</v>
      </c>
      <c r="AT9" s="49" t="s">
        <v>726</v>
      </c>
      <c r="AU9" s="49" t="s">
        <v>41</v>
      </c>
      <c r="AV9" s="49" t="s">
        <v>41</v>
      </c>
      <c r="AW9" s="49" t="s">
        <v>41</v>
      </c>
      <c r="AX9" s="49" t="s">
        <v>41</v>
      </c>
      <c r="AY9" s="49" t="s">
        <v>41</v>
      </c>
      <c r="AZ9" s="49" t="s">
        <v>41</v>
      </c>
      <c r="BA9" s="49" t="s">
        <v>41</v>
      </c>
      <c r="BB9" s="49" t="s">
        <v>39</v>
      </c>
      <c r="BC9" s="49" t="s">
        <v>40</v>
      </c>
      <c r="BD9" s="49" t="s">
        <v>41</v>
      </c>
      <c r="BE9" s="49" t="s">
        <v>39</v>
      </c>
      <c r="BF9" s="49" t="s">
        <v>41</v>
      </c>
      <c r="BG9" s="49" t="s">
        <v>38</v>
      </c>
      <c r="BH9" s="49" t="s">
        <v>40</v>
      </c>
      <c r="BI9" s="49" t="s">
        <v>727</v>
      </c>
      <c r="BJ9" s="2" t="s">
        <v>56</v>
      </c>
    </row>
    <row r="10" spans="1:62">
      <c r="A10" s="10" t="s">
        <v>18</v>
      </c>
      <c r="B10" s="50">
        <v>274515000000</v>
      </c>
      <c r="C10" s="50">
        <v>168088000000</v>
      </c>
      <c r="D10" s="50">
        <v>469822000000</v>
      </c>
      <c r="E10" s="50">
        <v>257637000000</v>
      </c>
      <c r="F10" s="50">
        <v>117929000000</v>
      </c>
      <c r="G10" s="50">
        <v>53823000000</v>
      </c>
      <c r="H10" s="50">
        <v>11716000000</v>
      </c>
      <c r="I10" s="50">
        <v>79024000000</v>
      </c>
      <c r="J10" s="50">
        <v>79474000000</v>
      </c>
      <c r="K10" s="50">
        <v>44538000000</v>
      </c>
      <c r="L10" s="50">
        <v>29061000000</v>
      </c>
      <c r="M10" s="50">
        <v>195929000000</v>
      </c>
      <c r="N10" s="50">
        <v>57350000000</v>
      </c>
      <c r="O10" s="50">
        <v>40500000000</v>
      </c>
      <c r="P10" s="50">
        <v>33600000000</v>
      </c>
      <c r="Q10" s="50">
        <v>16400000000</v>
      </c>
      <c r="R10" s="50">
        <v>5896000000</v>
      </c>
      <c r="S10" s="50">
        <v>25371000000</v>
      </c>
      <c r="T10" s="50">
        <v>14141000000</v>
      </c>
      <c r="U10" s="50">
        <v>127004000000</v>
      </c>
      <c r="V10" s="50">
        <v>93561000000</v>
      </c>
      <c r="W10" s="50">
        <v>96250000000</v>
      </c>
      <c r="X10" s="50">
        <v>52444000000</v>
      </c>
      <c r="Y10" s="50">
        <v>181587000000</v>
      </c>
      <c r="Z10" s="50">
        <v>261504000000</v>
      </c>
      <c r="AA10" s="50">
        <v>13870000000</v>
      </c>
      <c r="AB10" s="50">
        <v>54300000000</v>
      </c>
      <c r="AC10" s="50">
        <v>7244000000</v>
      </c>
      <c r="AD10" s="50">
        <v>2300000000</v>
      </c>
      <c r="AE10" s="50">
        <v>40700000000</v>
      </c>
      <c r="AF10" s="50">
        <v>62265000000</v>
      </c>
      <c r="AG10" s="50">
        <v>27839000000</v>
      </c>
      <c r="AH10" s="50">
        <v>13979000000</v>
      </c>
      <c r="AI10" s="50">
        <v>64215000000</v>
      </c>
      <c r="AJ10" s="50">
        <v>205855000000</v>
      </c>
      <c r="AK10" s="50">
        <v>31100000000</v>
      </c>
      <c r="AL10" s="50">
        <v>94000000000</v>
      </c>
      <c r="AM10" s="50">
        <v>41200000000</v>
      </c>
      <c r="AN10" s="50">
        <v>148500000000</v>
      </c>
      <c r="AO10" s="50">
        <v>78600000000</v>
      </c>
      <c r="AP10" s="50">
        <v>111239000000</v>
      </c>
      <c r="AQ10" s="50">
        <v>250200000000</v>
      </c>
      <c r="AR10" s="50">
        <v>19844000000</v>
      </c>
      <c r="AS10" s="50">
        <v>11100000000</v>
      </c>
      <c r="AT10" s="50">
        <v>23500000000</v>
      </c>
      <c r="AU10" s="50">
        <v>21900000000</v>
      </c>
      <c r="AV10" s="50">
        <v>15800000000</v>
      </c>
      <c r="AW10" s="50">
        <v>15000000000</v>
      </c>
      <c r="AX10" s="50">
        <v>45580000000</v>
      </c>
      <c r="AY10" s="50">
        <v>21000000000</v>
      </c>
      <c r="AZ10" s="50">
        <v>6400000000</v>
      </c>
      <c r="BA10" s="50">
        <v>4600000000</v>
      </c>
      <c r="BB10" s="50">
        <v>24300000000</v>
      </c>
      <c r="BC10" s="50">
        <v>28000000000</v>
      </c>
      <c r="BD10" s="50">
        <v>11200000000</v>
      </c>
      <c r="BE10" s="50">
        <v>52100000000</v>
      </c>
      <c r="BF10" s="50">
        <v>7244000000</v>
      </c>
      <c r="BG10" s="50">
        <v>27000000000</v>
      </c>
      <c r="BH10" s="50">
        <v>17400000000</v>
      </c>
      <c r="BI10" s="50">
        <v>90500000000</v>
      </c>
      <c r="BJ10" s="2" t="s">
        <v>57</v>
      </c>
    </row>
    <row r="11" spans="1:62">
      <c r="A11" s="10" t="s">
        <v>17</v>
      </c>
      <c r="B11" s="50">
        <v>66288000000</v>
      </c>
      <c r="C11" s="50">
        <v>69916000000</v>
      </c>
      <c r="D11" s="50">
        <v>24879000000</v>
      </c>
      <c r="E11" s="50">
        <v>54396000000</v>
      </c>
      <c r="F11" s="50">
        <v>32671000000</v>
      </c>
      <c r="G11" s="50">
        <v>6523000000</v>
      </c>
      <c r="H11" s="50">
        <v>4224000000</v>
      </c>
      <c r="I11" s="50">
        <v>21110000000</v>
      </c>
      <c r="J11" s="50">
        <v>9776000000</v>
      </c>
      <c r="K11" s="50">
        <v>5727000000</v>
      </c>
      <c r="L11" s="50">
        <v>4847000000</v>
      </c>
      <c r="M11" s="50">
        <v>6100000000</v>
      </c>
      <c r="N11" s="50">
        <v>6500000000</v>
      </c>
      <c r="O11" s="50">
        <v>12400000000</v>
      </c>
      <c r="P11" s="50">
        <v>10400000000</v>
      </c>
      <c r="Q11" s="50">
        <v>2500000000</v>
      </c>
      <c r="R11" s="50">
        <v>700000000</v>
      </c>
      <c r="S11" s="50">
        <v>3800000000</v>
      </c>
      <c r="T11" s="50">
        <v>4100000000</v>
      </c>
      <c r="U11" s="50">
        <v>6600000000</v>
      </c>
      <c r="V11" s="50">
        <v>3900000000</v>
      </c>
      <c r="W11" s="50">
        <v>14100000000</v>
      </c>
      <c r="X11" s="50">
        <v>8708000000</v>
      </c>
      <c r="Y11" s="50">
        <v>13001000000</v>
      </c>
      <c r="Z11" s="50">
        <v>20399000000</v>
      </c>
      <c r="AA11" s="50">
        <v>3727000000</v>
      </c>
      <c r="AB11" s="50">
        <v>13200000000</v>
      </c>
      <c r="AC11" s="50">
        <v>2500000000</v>
      </c>
      <c r="AD11" s="50">
        <v>-300000000</v>
      </c>
      <c r="AE11" s="50">
        <v>8300000000</v>
      </c>
      <c r="AF11" s="50">
        <v>6749000000</v>
      </c>
      <c r="AG11" s="50">
        <v>6709000000</v>
      </c>
      <c r="AH11" s="50">
        <v>4723000000</v>
      </c>
      <c r="AI11" s="50">
        <v>14040000000</v>
      </c>
      <c r="AJ11" s="50">
        <v>30670000000</v>
      </c>
      <c r="AK11" s="50">
        <v>4800000000</v>
      </c>
      <c r="AL11" s="50">
        <v>6700000000</v>
      </c>
      <c r="AM11" s="50">
        <v>9200000000</v>
      </c>
      <c r="AN11" s="50">
        <v>12300000000</v>
      </c>
      <c r="AO11" s="50">
        <v>6800000000</v>
      </c>
      <c r="AP11" s="50">
        <v>12893000000</v>
      </c>
      <c r="AQ11" s="50">
        <v>19300000000</v>
      </c>
      <c r="AR11" s="50">
        <v>1990000000</v>
      </c>
      <c r="AS11" s="50">
        <v>2100000000</v>
      </c>
      <c r="AT11" s="50">
        <v>2100000000</v>
      </c>
      <c r="AU11" s="50">
        <v>5000000000</v>
      </c>
      <c r="AV11" s="50">
        <v>6900000000</v>
      </c>
      <c r="AW11" s="50">
        <v>2800000000</v>
      </c>
      <c r="AX11" s="50">
        <v>5200000000</v>
      </c>
      <c r="AY11" s="50">
        <v>7600000000</v>
      </c>
      <c r="AZ11" s="50">
        <v>1900000000</v>
      </c>
      <c r="BA11" s="50">
        <v>800000000</v>
      </c>
      <c r="BB11" s="50">
        <v>2700000000</v>
      </c>
      <c r="BC11" s="50">
        <v>3300000000</v>
      </c>
      <c r="BD11" s="50">
        <v>-1200000000</v>
      </c>
      <c r="BE11" s="50">
        <v>4800000000</v>
      </c>
      <c r="BF11" s="50">
        <v>2500000000</v>
      </c>
      <c r="BG11" s="50">
        <v>-1500000000</v>
      </c>
      <c r="BH11" s="50">
        <v>600000000</v>
      </c>
      <c r="BI11" s="50">
        <v>16500000000</v>
      </c>
      <c r="BJ11" s="2" t="s">
        <v>58</v>
      </c>
    </row>
    <row r="12" spans="1:62">
      <c r="A12" s="10" t="s">
        <v>16</v>
      </c>
      <c r="B12" s="49" t="s">
        <v>50</v>
      </c>
      <c r="C12" s="49" t="s">
        <v>50</v>
      </c>
      <c r="D12" s="49" t="s">
        <v>50</v>
      </c>
      <c r="E12" s="49" t="s">
        <v>50</v>
      </c>
      <c r="F12" s="49" t="s">
        <v>50</v>
      </c>
      <c r="G12" s="49" t="s">
        <v>50</v>
      </c>
      <c r="H12" s="49" t="s">
        <v>50</v>
      </c>
      <c r="I12" s="49" t="s">
        <v>50</v>
      </c>
      <c r="J12" s="49" t="s">
        <v>50</v>
      </c>
      <c r="K12" s="49" t="s">
        <v>50</v>
      </c>
      <c r="L12" s="49" t="s">
        <v>50</v>
      </c>
      <c r="M12" s="49" t="s">
        <v>50</v>
      </c>
      <c r="N12" s="49" t="s">
        <v>50</v>
      </c>
      <c r="O12" s="49" t="s">
        <v>50</v>
      </c>
      <c r="P12" s="49" t="s">
        <v>50</v>
      </c>
      <c r="Q12" s="49" t="s">
        <v>50</v>
      </c>
      <c r="R12" s="49" t="s">
        <v>50</v>
      </c>
      <c r="S12" s="49" t="s">
        <v>50</v>
      </c>
      <c r="T12" s="49" t="s">
        <v>50</v>
      </c>
      <c r="U12" s="49" t="s">
        <v>50</v>
      </c>
      <c r="V12" s="49" t="s">
        <v>50</v>
      </c>
      <c r="W12" s="49" t="s">
        <v>50</v>
      </c>
      <c r="X12" s="49" t="s">
        <v>15</v>
      </c>
      <c r="Y12" s="49" t="s">
        <v>50</v>
      </c>
      <c r="Z12" s="49" t="s">
        <v>50</v>
      </c>
      <c r="AA12" s="49" t="s">
        <v>49</v>
      </c>
      <c r="AB12" s="49" t="s">
        <v>50</v>
      </c>
      <c r="AC12" s="49" t="s">
        <v>49</v>
      </c>
      <c r="AD12" s="49" t="s">
        <v>49</v>
      </c>
      <c r="AE12" s="49" t="s">
        <v>50</v>
      </c>
      <c r="AF12" s="49" t="s">
        <v>15</v>
      </c>
      <c r="AG12" s="49" t="s">
        <v>15</v>
      </c>
      <c r="AH12" s="49" t="s">
        <v>15</v>
      </c>
      <c r="AI12" s="49" t="s">
        <v>15</v>
      </c>
      <c r="AJ12" s="49" t="s">
        <v>50</v>
      </c>
      <c r="AK12" s="49" t="s">
        <v>15</v>
      </c>
      <c r="AL12" s="49" t="s">
        <v>15</v>
      </c>
      <c r="AM12" s="49" t="s">
        <v>15</v>
      </c>
      <c r="AN12" s="49" t="s">
        <v>15</v>
      </c>
      <c r="AO12" s="49" t="s">
        <v>15</v>
      </c>
      <c r="AP12" s="49" t="s">
        <v>15</v>
      </c>
      <c r="AQ12" s="49" t="s">
        <v>15</v>
      </c>
      <c r="AR12" s="49" t="s">
        <v>15</v>
      </c>
      <c r="AS12" s="49" t="s">
        <v>15</v>
      </c>
      <c r="AT12" s="49" t="s">
        <v>15</v>
      </c>
      <c r="AU12" s="49" t="s">
        <v>49</v>
      </c>
      <c r="AV12" s="49" t="s">
        <v>49</v>
      </c>
      <c r="AW12" s="49" t="s">
        <v>50</v>
      </c>
      <c r="AX12" s="49" t="s">
        <v>15</v>
      </c>
      <c r="AY12" s="49" t="s">
        <v>49</v>
      </c>
      <c r="AZ12" s="49" t="s">
        <v>50</v>
      </c>
      <c r="BA12" s="49" t="s">
        <v>50</v>
      </c>
      <c r="BB12" s="49" t="s">
        <v>15</v>
      </c>
      <c r="BC12" s="49" t="s">
        <v>15</v>
      </c>
      <c r="BD12" s="49" t="s">
        <v>49</v>
      </c>
      <c r="BE12" s="49" t="s">
        <v>15</v>
      </c>
      <c r="BF12" s="49" t="s">
        <v>49</v>
      </c>
      <c r="BG12" s="49" t="s">
        <v>15</v>
      </c>
      <c r="BH12" s="49" t="s">
        <v>15</v>
      </c>
      <c r="BI12" s="49" t="s">
        <v>51</v>
      </c>
      <c r="BJ12" s="2" t="s">
        <v>59</v>
      </c>
    </row>
    <row r="13" spans="1:62">
      <c r="A13" s="10" t="s">
        <v>14</v>
      </c>
      <c r="B13" s="50">
        <v>161000</v>
      </c>
      <c r="C13" s="50">
        <v>221000</v>
      </c>
      <c r="D13" s="50">
        <v>1525000</v>
      </c>
      <c r="E13" s="50">
        <v>182000</v>
      </c>
      <c r="F13" s="50">
        <v>67000</v>
      </c>
      <c r="G13" s="50">
        <v>140000</v>
      </c>
      <c r="H13" s="50">
        <v>29600</v>
      </c>
      <c r="I13" s="50">
        <v>124800</v>
      </c>
      <c r="J13" s="50">
        <v>318000</v>
      </c>
      <c r="K13" s="50">
        <v>83700</v>
      </c>
      <c r="L13" s="50">
        <v>381000</v>
      </c>
      <c r="M13" s="50">
        <v>316000</v>
      </c>
      <c r="N13" s="50">
        <v>288000</v>
      </c>
      <c r="O13" s="50">
        <v>164000</v>
      </c>
      <c r="P13" s="50">
        <v>51000</v>
      </c>
      <c r="Q13" s="50">
        <v>26000</v>
      </c>
      <c r="R13" s="50">
        <v>22000</v>
      </c>
      <c r="S13" s="50">
        <v>30000</v>
      </c>
      <c r="T13" s="50">
        <v>24000</v>
      </c>
      <c r="U13" s="50">
        <v>163000</v>
      </c>
      <c r="V13" s="50">
        <v>440000</v>
      </c>
      <c r="W13" s="50">
        <v>300000</v>
      </c>
      <c r="X13" s="50">
        <v>148000</v>
      </c>
      <c r="Y13" s="50">
        <v>87800</v>
      </c>
      <c r="Z13" s="50">
        <v>93000</v>
      </c>
      <c r="AA13" s="50">
        <v>30000</v>
      </c>
      <c r="AB13" s="50">
        <v>214000</v>
      </c>
      <c r="AC13" s="50">
        <v>36000</v>
      </c>
      <c r="AD13" s="50">
        <v>20000</v>
      </c>
      <c r="AE13" s="50">
        <v>83100</v>
      </c>
      <c r="AF13" s="50">
        <v>311000</v>
      </c>
      <c r="AG13" s="50">
        <v>107000</v>
      </c>
      <c r="AH13" s="50">
        <v>42000</v>
      </c>
      <c r="AI13" s="50">
        <v>213000</v>
      </c>
      <c r="AJ13" s="50">
        <v>101000</v>
      </c>
      <c r="AK13" s="50">
        <v>168000</v>
      </c>
      <c r="AL13" s="50">
        <v>93000</v>
      </c>
      <c r="AM13" s="50">
        <v>91000</v>
      </c>
      <c r="AN13" s="50">
        <v>159000</v>
      </c>
      <c r="AO13" s="50">
        <v>111000</v>
      </c>
      <c r="AP13" s="50">
        <v>154950</v>
      </c>
      <c r="AQ13" s="50">
        <v>684000</v>
      </c>
      <c r="AR13" s="50">
        <v>59258</v>
      </c>
      <c r="AS13" s="50">
        <v>58600</v>
      </c>
      <c r="AT13" s="50">
        <v>86000</v>
      </c>
      <c r="AU13" s="50">
        <v>87000</v>
      </c>
      <c r="AV13" s="50">
        <v>61000</v>
      </c>
      <c r="AW13" s="50">
        <v>83000</v>
      </c>
      <c r="AX13" s="50">
        <v>94000</v>
      </c>
      <c r="AY13" s="50">
        <v>106000</v>
      </c>
      <c r="AZ13" s="50">
        <v>21700</v>
      </c>
      <c r="BA13" s="50">
        <v>18000</v>
      </c>
      <c r="BB13" s="50">
        <v>96000</v>
      </c>
      <c r="BC13" s="50">
        <v>85000</v>
      </c>
      <c r="BD13" s="50">
        <v>42000</v>
      </c>
      <c r="BE13" s="50">
        <v>134000</v>
      </c>
      <c r="BF13" s="50">
        <v>36000</v>
      </c>
      <c r="BG13" s="50">
        <v>92000</v>
      </c>
      <c r="BH13" s="50">
        <v>67000</v>
      </c>
      <c r="BI13" s="50">
        <v>273000</v>
      </c>
      <c r="BJ13" s="2" t="s">
        <v>57</v>
      </c>
    </row>
    <row r="14" spans="1:62">
      <c r="A14" s="10" t="s">
        <v>13</v>
      </c>
      <c r="B14" s="49">
        <v>25</v>
      </c>
      <c r="C14" s="49">
        <v>20</v>
      </c>
      <c r="D14" s="49">
        <v>30</v>
      </c>
      <c r="E14" s="49">
        <v>35</v>
      </c>
      <c r="F14" s="49">
        <v>40</v>
      </c>
      <c r="G14" s="49">
        <v>50</v>
      </c>
      <c r="H14" s="49">
        <v>40</v>
      </c>
      <c r="I14" s="49">
        <v>35</v>
      </c>
      <c r="J14" s="49">
        <v>30</v>
      </c>
      <c r="K14" s="49">
        <v>45</v>
      </c>
      <c r="L14" s="49">
        <v>25</v>
      </c>
      <c r="M14" s="49">
        <v>20</v>
      </c>
      <c r="N14" s="49">
        <v>35</v>
      </c>
      <c r="O14" s="49">
        <v>30</v>
      </c>
      <c r="P14" s="49">
        <v>45</v>
      </c>
      <c r="Q14" s="49">
        <v>40</v>
      </c>
      <c r="R14" s="49">
        <v>25</v>
      </c>
      <c r="S14" s="49">
        <v>50</v>
      </c>
      <c r="T14" s="49">
        <v>20</v>
      </c>
      <c r="U14" s="49">
        <v>45</v>
      </c>
      <c r="V14" s="49">
        <v>25</v>
      </c>
      <c r="W14" s="49">
        <v>30</v>
      </c>
      <c r="X14" s="49">
        <v>40</v>
      </c>
      <c r="Y14" s="49">
        <v>50</v>
      </c>
      <c r="Z14" s="49">
        <v>55</v>
      </c>
      <c r="AA14" s="49">
        <v>40</v>
      </c>
      <c r="AB14" s="49">
        <v>30</v>
      </c>
      <c r="AC14" s="49">
        <v>25</v>
      </c>
      <c r="AD14" s="49">
        <v>45</v>
      </c>
      <c r="AE14" s="49">
        <v>35</v>
      </c>
      <c r="AF14" s="49">
        <v>30</v>
      </c>
      <c r="AG14" s="49">
        <v>35</v>
      </c>
      <c r="AH14" s="49">
        <v>45</v>
      </c>
      <c r="AI14" s="49">
        <v>25</v>
      </c>
      <c r="AJ14" s="49">
        <v>50</v>
      </c>
      <c r="AK14" s="49">
        <v>40</v>
      </c>
      <c r="AL14" s="49">
        <v>30</v>
      </c>
      <c r="AM14" s="49">
        <v>35</v>
      </c>
      <c r="AN14" s="49">
        <v>25</v>
      </c>
      <c r="AO14" s="49">
        <v>40</v>
      </c>
      <c r="AP14" s="49">
        <v>45</v>
      </c>
      <c r="AQ14" s="49">
        <v>50</v>
      </c>
      <c r="AR14" s="49">
        <v>40</v>
      </c>
      <c r="AS14" s="49">
        <v>45</v>
      </c>
      <c r="AT14" s="49">
        <v>35</v>
      </c>
      <c r="AU14" s="49">
        <v>30</v>
      </c>
      <c r="AV14" s="49">
        <v>25</v>
      </c>
      <c r="AW14" s="49">
        <v>30</v>
      </c>
      <c r="AX14" s="49">
        <v>35</v>
      </c>
      <c r="AY14" s="49">
        <v>30</v>
      </c>
      <c r="AZ14" s="49">
        <v>25</v>
      </c>
      <c r="BA14" s="49">
        <v>40</v>
      </c>
      <c r="BB14" s="49">
        <v>45</v>
      </c>
      <c r="BC14" s="49">
        <v>50</v>
      </c>
      <c r="BD14" s="49">
        <v>50</v>
      </c>
      <c r="BE14" s="49">
        <v>45</v>
      </c>
      <c r="BF14" s="49">
        <v>25</v>
      </c>
      <c r="BG14" s="49">
        <v>55</v>
      </c>
      <c r="BH14" s="49">
        <v>40</v>
      </c>
      <c r="BI14" s="49">
        <v>35</v>
      </c>
      <c r="BJ14" s="2" t="s">
        <v>60</v>
      </c>
    </row>
    <row r="15" spans="1:62">
      <c r="A15" s="9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</row>
    <row r="16" spans="1:62">
      <c r="A16" s="10" t="s">
        <v>61</v>
      </c>
      <c r="B16" s="11">
        <f>VLOOKUP(B12,'Reference Data sheet'!$B$216:$C$222,2,FALSE)</f>
        <v>0.93</v>
      </c>
      <c r="C16" s="11">
        <f>VLOOKUP(C12,'Reference Data sheet'!$B$216:$C$222,2,FALSE)</f>
        <v>0.93</v>
      </c>
      <c r="D16" s="11">
        <f>VLOOKUP(D12,'Reference Data sheet'!$B$216:$C$222,2,FALSE)</f>
        <v>0.93</v>
      </c>
      <c r="E16" s="11">
        <f>VLOOKUP(E12,'Reference Data sheet'!$B$216:$C$222,2,FALSE)</f>
        <v>0.93</v>
      </c>
      <c r="F16" s="11">
        <f>VLOOKUP(F12,'Reference Data sheet'!$B$216:$C$222,2,FALSE)</f>
        <v>0.93</v>
      </c>
      <c r="G16" s="11">
        <f>VLOOKUP(G12,'Reference Data sheet'!$B$216:$C$222,2,FALSE)</f>
        <v>0.93</v>
      </c>
      <c r="H16" s="11">
        <f>VLOOKUP(H12,'Reference Data sheet'!$B$216:$C$222,2,FALSE)</f>
        <v>0.93</v>
      </c>
      <c r="I16" s="11">
        <f>VLOOKUP(I12,'Reference Data sheet'!$B$216:$C$222,2,FALSE)</f>
        <v>0.93</v>
      </c>
      <c r="J16" s="11">
        <f>VLOOKUP(J12,'Reference Data sheet'!$B$216:$C$222,2,FALSE)</f>
        <v>0.93</v>
      </c>
      <c r="K16" s="11">
        <f>VLOOKUP(K12,'Reference Data sheet'!$B$216:$C$222,2,FALSE)</f>
        <v>0.93</v>
      </c>
      <c r="L16" s="11">
        <f>VLOOKUP(L12,'Reference Data sheet'!$B$216:$C$222,2,FALSE)</f>
        <v>0.93</v>
      </c>
      <c r="M16" s="11">
        <f>VLOOKUP(M12,'Reference Data sheet'!$B$216:$C$222,2,FALSE)</f>
        <v>0.93</v>
      </c>
      <c r="N16" s="11">
        <f>VLOOKUP(N12,'Reference Data sheet'!$B$216:$C$222,2,FALSE)</f>
        <v>0.93</v>
      </c>
      <c r="O16" s="11">
        <f>VLOOKUP(O12,'Reference Data sheet'!$B$216:$C$222,2,FALSE)</f>
        <v>0.93</v>
      </c>
      <c r="P16" s="11">
        <f>VLOOKUP(P12,'Reference Data sheet'!$B$216:$C$222,2,FALSE)</f>
        <v>0.93</v>
      </c>
      <c r="Q16" s="11">
        <f>VLOOKUP(Q12,'Reference Data sheet'!$B$216:$C$222,2,FALSE)</f>
        <v>0.93</v>
      </c>
      <c r="R16" s="11">
        <f>VLOOKUP(R12,'Reference Data sheet'!$B$216:$C$222,2,FALSE)</f>
        <v>0.93</v>
      </c>
      <c r="S16" s="11">
        <f>VLOOKUP(S12,'Reference Data sheet'!$B$216:$C$222,2,FALSE)</f>
        <v>0.93</v>
      </c>
      <c r="T16" s="11">
        <f>VLOOKUP(T12,'Reference Data sheet'!$B$216:$C$222,2,FALSE)</f>
        <v>0.93</v>
      </c>
      <c r="U16" s="11">
        <f>VLOOKUP(U12,'Reference Data sheet'!$B$216:$C$222,2,FALSE)</f>
        <v>0.93</v>
      </c>
      <c r="V16" s="11">
        <f>VLOOKUP(V12,'Reference Data sheet'!$B$216:$C$222,2,FALSE)</f>
        <v>0.93</v>
      </c>
      <c r="W16" s="11">
        <f>VLOOKUP(W12,'Reference Data sheet'!$B$216:$C$222,2,FALSE)</f>
        <v>0.93</v>
      </c>
      <c r="X16" s="11">
        <f>VLOOKUP(X12,'Reference Data sheet'!$B$216:$C$222,2,FALSE)</f>
        <v>1</v>
      </c>
      <c r="Y16" s="11">
        <f>VLOOKUP(Y12,'Reference Data sheet'!$B$216:$C$222,2,FALSE)</f>
        <v>0.93</v>
      </c>
      <c r="Z16" s="11">
        <f>VLOOKUP(Z12,'Reference Data sheet'!$B$216:$C$222,2,FALSE)</f>
        <v>0.93</v>
      </c>
      <c r="AA16" s="11">
        <f>VLOOKUP(AA12,'Reference Data sheet'!$B$216:$C$222,2,FALSE)</f>
        <v>1.17</v>
      </c>
      <c r="AB16" s="11">
        <f>VLOOKUP(AB12,'Reference Data sheet'!$B$216:$C$222,2,FALSE)</f>
        <v>0.93</v>
      </c>
      <c r="AC16" s="11">
        <f>VLOOKUP(AC12,'Reference Data sheet'!$B$216:$C$222,2,FALSE)</f>
        <v>1.17</v>
      </c>
      <c r="AD16" s="11">
        <f>VLOOKUP(AD12,'Reference Data sheet'!$B$216:$C$222,2,FALSE)</f>
        <v>1.17</v>
      </c>
      <c r="AE16" s="11">
        <f>VLOOKUP(AE12,'Reference Data sheet'!$B$216:$C$222,2,FALSE)</f>
        <v>0.93</v>
      </c>
      <c r="AF16" s="11">
        <f>VLOOKUP(AF12,'Reference Data sheet'!$B$216:$C$222,2,FALSE)</f>
        <v>1</v>
      </c>
      <c r="AG16" s="11">
        <f>VLOOKUP(AG12,'Reference Data sheet'!$B$216:$C$222,2,FALSE)</f>
        <v>1</v>
      </c>
      <c r="AH16" s="11">
        <f>VLOOKUP(AH12,'Reference Data sheet'!$B$216:$C$222,2,FALSE)</f>
        <v>1</v>
      </c>
      <c r="AI16" s="11">
        <f>VLOOKUP(AI12,'Reference Data sheet'!$B$216:$C$222,2,FALSE)</f>
        <v>1</v>
      </c>
      <c r="AJ16" s="11">
        <f>VLOOKUP(AJ12,'Reference Data sheet'!$B$216:$C$222,2,FALSE)</f>
        <v>0.93</v>
      </c>
      <c r="AK16" s="11">
        <f>VLOOKUP(AK12,'Reference Data sheet'!$B$216:$C$222,2,FALSE)</f>
        <v>1</v>
      </c>
      <c r="AL16" s="11">
        <f>VLOOKUP(AL12,'Reference Data sheet'!$B$216:$C$222,2,FALSE)</f>
        <v>1</v>
      </c>
      <c r="AM16" s="11">
        <f>VLOOKUP(AM12,'Reference Data sheet'!$B$216:$C$222,2,FALSE)</f>
        <v>1</v>
      </c>
      <c r="AN16" s="11">
        <f>VLOOKUP(AN12,'Reference Data sheet'!$B$216:$C$222,2,FALSE)</f>
        <v>1</v>
      </c>
      <c r="AO16" s="11">
        <f>VLOOKUP(AO12,'Reference Data sheet'!$B$216:$C$222,2,FALSE)</f>
        <v>1</v>
      </c>
      <c r="AP16" s="11">
        <f>VLOOKUP(AP12,'Reference Data sheet'!$B$216:$C$222,2,FALSE)</f>
        <v>1</v>
      </c>
      <c r="AQ16" s="11">
        <f>VLOOKUP(AQ12,'Reference Data sheet'!$B$216:$C$222,2,FALSE)</f>
        <v>1</v>
      </c>
      <c r="AR16" s="11">
        <f>VLOOKUP(AR12,'Reference Data sheet'!$B$216:$C$222,2,FALSE)</f>
        <v>1</v>
      </c>
      <c r="AS16" s="11">
        <f>VLOOKUP(AS12,'Reference Data sheet'!$B$216:$C$222,2,FALSE)</f>
        <v>1</v>
      </c>
      <c r="AT16" s="11">
        <f>VLOOKUP(AT12,'Reference Data sheet'!$B$216:$C$222,2,FALSE)</f>
        <v>1</v>
      </c>
      <c r="AU16" s="11">
        <f>VLOOKUP(AU12,'Reference Data sheet'!$B$216:$C$222,2,FALSE)</f>
        <v>1.17</v>
      </c>
      <c r="AV16" s="11">
        <f>VLOOKUP(AV12,'Reference Data sheet'!$B$216:$C$222,2,FALSE)</f>
        <v>1.17</v>
      </c>
      <c r="AW16" s="11">
        <f>VLOOKUP(AW12,'Reference Data sheet'!$B$216:$C$222,2,FALSE)</f>
        <v>0.93</v>
      </c>
      <c r="AX16" s="11">
        <f>VLOOKUP(AX12,'Reference Data sheet'!$B$216:$C$222,2,FALSE)</f>
        <v>1</v>
      </c>
      <c r="AY16" s="11">
        <f>VLOOKUP(AY12,'Reference Data sheet'!$B$216:$C$222,2,FALSE)</f>
        <v>1.17</v>
      </c>
      <c r="AZ16" s="11">
        <f>VLOOKUP(AZ12,'Reference Data sheet'!$B$216:$C$222,2,FALSE)</f>
        <v>0.93</v>
      </c>
      <c r="BA16" s="11">
        <f>VLOOKUP(BA12,'Reference Data sheet'!$B$216:$C$222,2,FALSE)</f>
        <v>0.93</v>
      </c>
      <c r="BB16" s="11">
        <f>VLOOKUP(BB12,'Reference Data sheet'!$B$216:$C$222,2,FALSE)</f>
        <v>1</v>
      </c>
      <c r="BC16" s="11">
        <f>VLOOKUP(BC12,'Reference Data sheet'!$B$216:$C$222,2,FALSE)</f>
        <v>1</v>
      </c>
      <c r="BD16" s="11">
        <f>VLOOKUP(BD12,'Reference Data sheet'!$B$216:$C$222,2,FALSE)</f>
        <v>1.17</v>
      </c>
      <c r="BE16" s="11">
        <f>VLOOKUP(BE12,'Reference Data sheet'!$B$216:$C$222,2,FALSE)</f>
        <v>1</v>
      </c>
      <c r="BF16" s="11">
        <f>VLOOKUP(BF12,'Reference Data sheet'!$B$216:$C$222,2,FALSE)</f>
        <v>1.17</v>
      </c>
      <c r="BG16" s="11">
        <f>VLOOKUP(BG12,'Reference Data sheet'!$B$216:$C$222,2,FALSE)</f>
        <v>1</v>
      </c>
      <c r="BH16" s="11">
        <f>VLOOKUP(BH12,'Reference Data sheet'!$B$216:$C$222,2,FALSE)</f>
        <v>1</v>
      </c>
      <c r="BI16" s="11">
        <f>VLOOKUP(BI12,'Reference Data sheet'!$B$216:$C$222,2,FALSE)</f>
        <v>1.04</v>
      </c>
      <c r="BJ16" s="2" t="s">
        <v>63</v>
      </c>
    </row>
    <row r="17" spans="1:63">
      <c r="A17" s="10" t="s">
        <v>62</v>
      </c>
      <c r="B17" s="12">
        <f>B11*B16</f>
        <v>61647840000</v>
      </c>
      <c r="C17" s="12">
        <f t="shared" ref="C17:BI17" si="0">C11*C16</f>
        <v>65021880000</v>
      </c>
      <c r="D17" s="12">
        <f t="shared" si="0"/>
        <v>23137470000</v>
      </c>
      <c r="E17" s="12">
        <f t="shared" si="0"/>
        <v>50588280000</v>
      </c>
      <c r="F17" s="12">
        <f t="shared" si="0"/>
        <v>30384030000</v>
      </c>
      <c r="G17" s="12">
        <f t="shared" si="0"/>
        <v>6066390000</v>
      </c>
      <c r="H17" s="12">
        <f t="shared" si="0"/>
        <v>3928320000</v>
      </c>
      <c r="I17" s="12">
        <f t="shared" si="0"/>
        <v>19632300000</v>
      </c>
      <c r="J17" s="12">
        <f t="shared" si="0"/>
        <v>9091680000</v>
      </c>
      <c r="K17" s="12">
        <f t="shared" si="0"/>
        <v>5326110000</v>
      </c>
      <c r="L17" s="12">
        <f t="shared" si="0"/>
        <v>4507710000</v>
      </c>
      <c r="M17" s="12">
        <f t="shared" si="0"/>
        <v>5673000000</v>
      </c>
      <c r="N17" s="12">
        <f t="shared" si="0"/>
        <v>6045000000</v>
      </c>
      <c r="O17" s="12">
        <f t="shared" si="0"/>
        <v>11532000000</v>
      </c>
      <c r="P17" s="12">
        <f t="shared" si="0"/>
        <v>9672000000</v>
      </c>
      <c r="Q17" s="12">
        <f t="shared" si="0"/>
        <v>2325000000</v>
      </c>
      <c r="R17" s="12">
        <f t="shared" si="0"/>
        <v>651000000</v>
      </c>
      <c r="S17" s="12">
        <f t="shared" si="0"/>
        <v>3534000000</v>
      </c>
      <c r="T17" s="12">
        <f t="shared" si="0"/>
        <v>3813000000</v>
      </c>
      <c r="U17" s="12">
        <f t="shared" si="0"/>
        <v>6138000000</v>
      </c>
      <c r="V17" s="12">
        <f t="shared" si="0"/>
        <v>3627000000</v>
      </c>
      <c r="W17" s="12">
        <f t="shared" si="0"/>
        <v>13113000000</v>
      </c>
      <c r="X17" s="12">
        <f t="shared" si="0"/>
        <v>8708000000</v>
      </c>
      <c r="Y17" s="12">
        <f t="shared" si="0"/>
        <v>12090930000</v>
      </c>
      <c r="Z17" s="12">
        <f t="shared" si="0"/>
        <v>18971070000</v>
      </c>
      <c r="AA17" s="12">
        <f t="shared" si="0"/>
        <v>4360590000</v>
      </c>
      <c r="AB17" s="12">
        <f t="shared" si="0"/>
        <v>12276000000</v>
      </c>
      <c r="AC17" s="12">
        <f t="shared" si="0"/>
        <v>2925000000</v>
      </c>
      <c r="AD17" s="12">
        <f t="shared" si="0"/>
        <v>-351000000</v>
      </c>
      <c r="AE17" s="12">
        <f t="shared" si="0"/>
        <v>7719000000</v>
      </c>
      <c r="AF17" s="12">
        <f t="shared" si="0"/>
        <v>6749000000</v>
      </c>
      <c r="AG17" s="12">
        <f t="shared" si="0"/>
        <v>6709000000</v>
      </c>
      <c r="AH17" s="12">
        <f t="shared" si="0"/>
        <v>4723000000</v>
      </c>
      <c r="AI17" s="12">
        <f t="shared" si="0"/>
        <v>14040000000</v>
      </c>
      <c r="AJ17" s="12">
        <f t="shared" si="0"/>
        <v>28523100000</v>
      </c>
      <c r="AK17" s="12">
        <f t="shared" si="0"/>
        <v>4800000000</v>
      </c>
      <c r="AL17" s="12">
        <f t="shared" si="0"/>
        <v>6700000000</v>
      </c>
      <c r="AM17" s="12">
        <f t="shared" si="0"/>
        <v>9200000000</v>
      </c>
      <c r="AN17" s="12">
        <f t="shared" si="0"/>
        <v>12300000000</v>
      </c>
      <c r="AO17" s="12">
        <f t="shared" si="0"/>
        <v>6800000000</v>
      </c>
      <c r="AP17" s="12">
        <f t="shared" si="0"/>
        <v>12893000000</v>
      </c>
      <c r="AQ17" s="12">
        <f t="shared" si="0"/>
        <v>19300000000</v>
      </c>
      <c r="AR17" s="12">
        <f t="shared" si="0"/>
        <v>1990000000</v>
      </c>
      <c r="AS17" s="12">
        <f t="shared" si="0"/>
        <v>2100000000</v>
      </c>
      <c r="AT17" s="12">
        <f t="shared" si="0"/>
        <v>2100000000</v>
      </c>
      <c r="AU17" s="12">
        <f t="shared" si="0"/>
        <v>5850000000</v>
      </c>
      <c r="AV17" s="12">
        <f t="shared" si="0"/>
        <v>8072999999.999999</v>
      </c>
      <c r="AW17" s="12">
        <f t="shared" si="0"/>
        <v>2604000000</v>
      </c>
      <c r="AX17" s="12">
        <f t="shared" si="0"/>
        <v>5200000000</v>
      </c>
      <c r="AY17" s="12">
        <f t="shared" si="0"/>
        <v>8892000000</v>
      </c>
      <c r="AZ17" s="12">
        <f t="shared" si="0"/>
        <v>1767000000</v>
      </c>
      <c r="BA17" s="12">
        <f t="shared" si="0"/>
        <v>744000000</v>
      </c>
      <c r="BB17" s="12">
        <f t="shared" si="0"/>
        <v>2700000000</v>
      </c>
      <c r="BC17" s="12">
        <f t="shared" si="0"/>
        <v>3300000000</v>
      </c>
      <c r="BD17" s="12">
        <f t="shared" si="0"/>
        <v>-1404000000</v>
      </c>
      <c r="BE17" s="12">
        <f t="shared" si="0"/>
        <v>4800000000</v>
      </c>
      <c r="BF17" s="12">
        <f t="shared" si="0"/>
        <v>2925000000</v>
      </c>
      <c r="BG17" s="12">
        <f t="shared" si="0"/>
        <v>-1500000000</v>
      </c>
      <c r="BH17" s="12">
        <f t="shared" si="0"/>
        <v>600000000</v>
      </c>
      <c r="BI17" s="12">
        <f t="shared" si="0"/>
        <v>17160000000</v>
      </c>
      <c r="BJ17" s="2" t="s">
        <v>66</v>
      </c>
    </row>
    <row r="18" spans="1:63">
      <c r="A18" s="10" t="s">
        <v>64</v>
      </c>
      <c r="B18" s="11">
        <f>VLOOKUP(B$8,'Reference Data sheet'!$H$3:$M$176,2,FALSE)</f>
        <v>11</v>
      </c>
      <c r="C18" s="11">
        <f>VLOOKUP(C$8,'Reference Data sheet'!$H$3:$M$176,2,FALSE)</f>
        <v>15</v>
      </c>
      <c r="D18" s="11">
        <f>VLOOKUP(D$8,'Reference Data sheet'!$H$3:$M$176,2,FALSE)</f>
        <v>11.5</v>
      </c>
      <c r="E18" s="11">
        <f>VLOOKUP(E$8,'Reference Data sheet'!$H$3:$M$176,2,FALSE)</f>
        <v>21.5</v>
      </c>
      <c r="F18" s="11">
        <f>VLOOKUP(F$8,'Reference Data sheet'!$H$3:$M$176,2,FALSE)</f>
        <v>10.5</v>
      </c>
      <c r="G18" s="11">
        <f>VLOOKUP(G$8,'Reference Data sheet'!$H$3:$M$176,2,FALSE)</f>
        <v>7.5</v>
      </c>
      <c r="H18" s="11">
        <f>VLOOKUP(H$8,'Reference Data sheet'!$H$3:$M$176,2,FALSE)</f>
        <v>13</v>
      </c>
      <c r="I18" s="11">
        <f>VLOOKUP(I$8,'Reference Data sheet'!$H$3:$M$176,2,FALSE)</f>
        <v>13</v>
      </c>
      <c r="J18" s="11">
        <f>VLOOKUP(J$8,'Reference Data sheet'!$H$3:$M$176,2,FALSE)</f>
        <v>12</v>
      </c>
      <c r="K18" s="11">
        <f>VLOOKUP(K$8,'Reference Data sheet'!$H$3:$M$176,2,FALSE)</f>
        <v>10</v>
      </c>
      <c r="L18" s="11">
        <f>VLOOKUP(L$8,'Reference Data sheet'!$H$3:$M$176,2,FALSE)</f>
        <v>10.5</v>
      </c>
      <c r="M18" s="11">
        <f>VLOOKUP(M$8,'Reference Data sheet'!$H$3:$M$176,2,FALSE)</f>
        <v>10</v>
      </c>
      <c r="N18" s="11">
        <f>VLOOKUP(N$8,'Reference Data sheet'!$H$3:$M$176,2,FALSE)</f>
        <v>10</v>
      </c>
      <c r="O18" s="11">
        <f>VLOOKUP(O$8,'Reference Data sheet'!$H$3:$M$176,2,FALSE)</f>
        <v>21.5</v>
      </c>
      <c r="P18" s="11">
        <f>VLOOKUP(P$8,'Reference Data sheet'!$H$3:$M$176,2,FALSE)</f>
        <v>13</v>
      </c>
      <c r="Q18" s="11">
        <f>VLOOKUP(Q$8,'Reference Data sheet'!$H$3:$M$176,2,FALSE)</f>
        <v>13</v>
      </c>
      <c r="R18" s="11">
        <f>VLOOKUP(R$8,'Reference Data sheet'!$H$3:$M$176,2,FALSE)</f>
        <v>17.5</v>
      </c>
      <c r="S18" s="11">
        <f>VLOOKUP(S$8,'Reference Data sheet'!$H$3:$M$176,2,FALSE)</f>
        <v>12</v>
      </c>
      <c r="T18" s="11">
        <f>VLOOKUP(T$8,'Reference Data sheet'!$H$3:$M$176,2,FALSE)</f>
        <v>9</v>
      </c>
      <c r="U18" s="11">
        <f>VLOOKUP(U$8,'Reference Data sheet'!$H$3:$M$176,2,FALSE)</f>
        <v>7.5</v>
      </c>
      <c r="V18" s="11">
        <f>VLOOKUP(V$8,'Reference Data sheet'!$H$3:$M$176,2,FALSE)</f>
        <v>10</v>
      </c>
      <c r="W18" s="11">
        <f>VLOOKUP(W$8,'Reference Data sheet'!$H$3:$M$176,2,FALSE)</f>
        <v>10</v>
      </c>
      <c r="X18" s="11">
        <f>VLOOKUP(X$8,'Reference Data sheet'!$H$3:$M$176,2,FALSE)</f>
        <v>13</v>
      </c>
      <c r="Y18" s="11">
        <f>VLOOKUP(Y$8,'Reference Data sheet'!$H$3:$M$176,2,FALSE)</f>
        <v>9</v>
      </c>
      <c r="Z18" s="11">
        <f>VLOOKUP(Z$8,'Reference Data sheet'!$H$3:$M$176,2,FALSE)</f>
        <v>9</v>
      </c>
      <c r="AA18" s="11">
        <f>VLOOKUP(AA$8,'Reference Data sheet'!$H$3:$M$176,2,FALSE)</f>
        <v>12.5</v>
      </c>
      <c r="AB18" s="11">
        <f>VLOOKUP(AB$8,'Reference Data sheet'!$H$3:$M$176,2,FALSE)</f>
        <v>11.5</v>
      </c>
      <c r="AC18" s="11">
        <f>VLOOKUP(AC$8,'Reference Data sheet'!$H$3:$M$176,2,FALSE)</f>
        <v>9.5</v>
      </c>
      <c r="AD18" s="11">
        <f>VLOOKUP(AD$8,'Reference Data sheet'!$H$3:$M$176,2,FALSE)</f>
        <v>11.5</v>
      </c>
      <c r="AE18" s="11">
        <f>VLOOKUP(AE$8,'Reference Data sheet'!$H$3:$M$176,2,FALSE)</f>
        <v>15</v>
      </c>
      <c r="AF18" s="11">
        <f>VLOOKUP(AF$8,'Reference Data sheet'!$H$3:$M$176,2,FALSE)</f>
        <v>12.5</v>
      </c>
      <c r="AG18" s="11">
        <f>VLOOKUP(AG$8,'Reference Data sheet'!$H$3:$M$176,2,FALSE)</f>
        <v>15</v>
      </c>
      <c r="AH18" s="11">
        <f>VLOOKUP(AH$8,'Reference Data sheet'!$H$3:$M$176,2,FALSE)</f>
        <v>10</v>
      </c>
      <c r="AI18" s="11">
        <f>VLOOKUP(AI$8,'Reference Data sheet'!$H$3:$M$176,2,FALSE)</f>
        <v>15</v>
      </c>
      <c r="AJ18" s="11">
        <f>VLOOKUP(AJ$8,'Reference Data sheet'!$H$3:$M$176,2,FALSE)</f>
        <v>9</v>
      </c>
      <c r="AK18" s="11">
        <f>VLOOKUP(AK$8,'Reference Data sheet'!$H$3:$M$176,2,FALSE)</f>
        <v>12.5</v>
      </c>
      <c r="AL18" s="11">
        <f>VLOOKUP(AL$8,'Reference Data sheet'!$H$3:$M$176,2,FALSE)</f>
        <v>12.5</v>
      </c>
      <c r="AM18" s="11">
        <f>VLOOKUP(AM$8,'Reference Data sheet'!$H$3:$M$176,2,FALSE)</f>
        <v>15</v>
      </c>
      <c r="AN18" s="11">
        <f>VLOOKUP(AN$8,'Reference Data sheet'!$H$3:$M$176,2,FALSE)</f>
        <v>12.5</v>
      </c>
      <c r="AO18" s="11">
        <f>VLOOKUP(AO$8,'Reference Data sheet'!$H$3:$M$176,2,FALSE)</f>
        <v>11.5</v>
      </c>
      <c r="AP18" s="11">
        <f>VLOOKUP(AP$8,'Reference Data sheet'!$H$3:$M$176,2,FALSE)</f>
        <v>7.5</v>
      </c>
      <c r="AQ18" s="11">
        <f>VLOOKUP(AQ$8,'Reference Data sheet'!$H$3:$M$176,2,FALSE)</f>
        <v>7.5</v>
      </c>
      <c r="AR18" s="11">
        <f>VLOOKUP(AR$8,'Reference Data sheet'!$H$3:$M$176,2,FALSE)</f>
        <v>12</v>
      </c>
      <c r="AS18" s="11">
        <f>VLOOKUP(AS$8,'Reference Data sheet'!$H$3:$M$176,2,FALSE)</f>
        <v>13</v>
      </c>
      <c r="AT18" s="11">
        <f>VLOOKUP(AT$8,'Reference Data sheet'!$H$3:$M$176,2,FALSE)</f>
        <v>11.5</v>
      </c>
      <c r="AU18" s="11">
        <f>VLOOKUP(AU$8,'Reference Data sheet'!$H$3:$M$176,2,FALSE)</f>
        <v>11.5</v>
      </c>
      <c r="AV18" s="11">
        <f>VLOOKUP(AV$8,'Reference Data sheet'!$H$3:$M$176,2,FALSE)</f>
        <v>11.5</v>
      </c>
      <c r="AW18" s="11">
        <f>VLOOKUP(AW$8,'Reference Data sheet'!$H$3:$M$176,2,FALSE)</f>
        <v>11.5</v>
      </c>
      <c r="AX18" s="11">
        <f>VLOOKUP(AX$8,'Reference Data sheet'!$H$3:$M$176,2,FALSE)</f>
        <v>11.5</v>
      </c>
      <c r="AY18" s="11">
        <f>VLOOKUP(AY$8,'Reference Data sheet'!$H$3:$M$176,2,FALSE)</f>
        <v>11.5</v>
      </c>
      <c r="AZ18" s="11">
        <f>VLOOKUP(AZ$8,'Reference Data sheet'!$H$3:$M$176,2,FALSE)</f>
        <v>21.5</v>
      </c>
      <c r="BA18" s="11">
        <f>VLOOKUP(BA$8,'Reference Data sheet'!$H$3:$M$176,2,FALSE)</f>
        <v>15</v>
      </c>
      <c r="BB18" s="11">
        <f>VLOOKUP(BB$8,'Reference Data sheet'!$H$3:$M$176,2,FALSE)</f>
        <v>12</v>
      </c>
      <c r="BC18" s="11">
        <f>VLOOKUP(BC$8,'Reference Data sheet'!$H$3:$M$176,2,FALSE)</f>
        <v>12.5</v>
      </c>
      <c r="BD18" s="11">
        <f>VLOOKUP(BD$8,'Reference Data sheet'!$H$3:$M$176,2,FALSE)</f>
        <v>10</v>
      </c>
      <c r="BE18" s="11">
        <f>VLOOKUP(BE$8,'Reference Data sheet'!$H$3:$M$176,2,FALSE)</f>
        <v>10</v>
      </c>
      <c r="BF18" s="11">
        <f>VLOOKUP(BF$8,'Reference Data sheet'!$H$3:$M$176,2,FALSE)</f>
        <v>9.5</v>
      </c>
      <c r="BG18" s="11">
        <f>VLOOKUP(BG$8,'Reference Data sheet'!$H$3:$M$176,2,FALSE)</f>
        <v>9.5</v>
      </c>
      <c r="BH18" s="11">
        <f>VLOOKUP(BH$8,'Reference Data sheet'!$H$3:$M$176,2,FALSE)</f>
        <v>10</v>
      </c>
      <c r="BI18" s="11">
        <f>VLOOKUP(BI$8,'Reference Data sheet'!$H$3:$M$176,2,FALSE)</f>
        <v>12</v>
      </c>
      <c r="BJ18" s="2" t="s">
        <v>65</v>
      </c>
    </row>
    <row r="19" spans="1:63">
      <c r="A19" s="10" t="s">
        <v>11</v>
      </c>
      <c r="B19" s="11">
        <f>VLOOKUP(B9,'Reference Data sheet'!$B$181:$C$191,2,FALSE)</f>
        <v>0.2</v>
      </c>
      <c r="C19" s="11">
        <f>VLOOKUP(C9,'Reference Data sheet'!$B$181:$C$191,2,FALSE)</f>
        <v>0.2</v>
      </c>
      <c r="D19" s="11">
        <f>VLOOKUP(D9,'Reference Data sheet'!$B$181:$C$191,2,FALSE)</f>
        <v>0.2</v>
      </c>
      <c r="E19" s="11">
        <f>VLOOKUP(E9,'Reference Data sheet'!$B$181:$C$191,2,FALSE)</f>
        <v>0.2</v>
      </c>
      <c r="F19" s="11">
        <f>VLOOKUP(F9,'Reference Data sheet'!$B$181:$C$191,2,FALSE)</f>
        <v>0.2</v>
      </c>
      <c r="G19" s="11">
        <f>VLOOKUP(G9,'Reference Data sheet'!$B$181:$C$191,2,FALSE)</f>
        <v>0.2</v>
      </c>
      <c r="H19" s="11">
        <f>VLOOKUP(H9,'Reference Data sheet'!$B$181:$C$191,2,FALSE)</f>
        <v>0.2</v>
      </c>
      <c r="I19" s="11">
        <f>VLOOKUP(I9,'Reference Data sheet'!$B$181:$C$191,2,FALSE)</f>
        <v>0.2</v>
      </c>
      <c r="J19" s="11">
        <f>VLOOKUP(J9,'Reference Data sheet'!$B$181:$C$191,2,FALSE)</f>
        <v>0.2</v>
      </c>
      <c r="K19" s="11">
        <f>VLOOKUP(K9,'Reference Data sheet'!$B$181:$C$191,2,FALSE)</f>
        <v>0.2</v>
      </c>
      <c r="L19" s="11">
        <f>VLOOKUP(L9,'Reference Data sheet'!$B$181:$C$191,2,FALSE)</f>
        <v>0.2</v>
      </c>
      <c r="M19" s="11">
        <f>VLOOKUP(M9,'Reference Data sheet'!$B$181:$C$191,2,FALSE)</f>
        <v>0.2</v>
      </c>
      <c r="N19" s="11">
        <f>VLOOKUP(N9,'Reference Data sheet'!$B$181:$C$191,2,FALSE)</f>
        <v>0.2</v>
      </c>
      <c r="O19" s="11">
        <f>VLOOKUP(O9,'Reference Data sheet'!$B$181:$C$191,2,FALSE)</f>
        <v>0.2</v>
      </c>
      <c r="P19" s="11">
        <f>VLOOKUP(P9,'Reference Data sheet'!$B$181:$C$191,2,FALSE)</f>
        <v>0.2</v>
      </c>
      <c r="Q19" s="11">
        <f>VLOOKUP(Q9,'Reference Data sheet'!$B$181:$C$191,2,FALSE)</f>
        <v>0.2</v>
      </c>
      <c r="R19" s="11">
        <f>VLOOKUP(R9,'Reference Data sheet'!$B$181:$C$191,2,FALSE)</f>
        <v>0.2</v>
      </c>
      <c r="S19" s="11">
        <f>VLOOKUP(S9,'Reference Data sheet'!$B$181:$C$191,2,FALSE)</f>
        <v>0.2</v>
      </c>
      <c r="T19" s="11">
        <f>VLOOKUP(T9,'Reference Data sheet'!$B$181:$C$191,2,FALSE)</f>
        <v>0.2</v>
      </c>
      <c r="U19" s="11">
        <f>VLOOKUP(U9,'Reference Data sheet'!$B$181:$C$191,2,FALSE)</f>
        <v>0.2</v>
      </c>
      <c r="V19" s="11">
        <f>VLOOKUP(V9,'Reference Data sheet'!$B$181:$C$191,2,FALSE)</f>
        <v>0.2</v>
      </c>
      <c r="W19" s="11">
        <f>VLOOKUP(W9,'Reference Data sheet'!$B$181:$C$191,2,FALSE)</f>
        <v>0.2</v>
      </c>
      <c r="X19" s="11">
        <f>VLOOKUP(X9,'Reference Data sheet'!$B$181:$C$191,2,FALSE)</f>
        <v>0.2</v>
      </c>
      <c r="Y19" s="11">
        <f>VLOOKUP(Y9,'Reference Data sheet'!$B$181:$C$191,2,FALSE)</f>
        <v>0.2</v>
      </c>
      <c r="Z19" s="11">
        <f>VLOOKUP(Z9,'Reference Data sheet'!$B$181:$C$191,2,FALSE)</f>
        <v>0.1</v>
      </c>
      <c r="AA19" s="11">
        <f>VLOOKUP(AA9,'Reference Data sheet'!$B$181:$C$191,2,FALSE)</f>
        <v>0.2</v>
      </c>
      <c r="AB19" s="11">
        <f>VLOOKUP(AB9,'Reference Data sheet'!$B$181:$C$191,2,FALSE)</f>
        <v>0.2</v>
      </c>
      <c r="AC19" s="11">
        <f>VLOOKUP(AC9,'Reference Data sheet'!$B$181:$C$191,2,FALSE)</f>
        <v>0.2</v>
      </c>
      <c r="AD19" s="11">
        <f>VLOOKUP(AD9,'Reference Data sheet'!$B$181:$C$191,2,FALSE)</f>
        <v>0.2</v>
      </c>
      <c r="AE19" s="11">
        <f>VLOOKUP(AE9,'Reference Data sheet'!$B$181:$C$191,2,FALSE)</f>
        <v>0.2</v>
      </c>
      <c r="AF19" s="11">
        <f>VLOOKUP(AF9,'Reference Data sheet'!$B$181:$C$191,2,FALSE)</f>
        <v>0.2</v>
      </c>
      <c r="AG19" s="11">
        <f>VLOOKUP(AG9,'Reference Data sheet'!$B$181:$C$191,2,FALSE)</f>
        <v>0.2</v>
      </c>
      <c r="AH19" s="11">
        <f>VLOOKUP(AH9,'Reference Data sheet'!$B$181:$C$191,2,FALSE)</f>
        <v>0.1</v>
      </c>
      <c r="AI19" s="11">
        <f>VLOOKUP(AI9,'Reference Data sheet'!$B$181:$C$191,2,FALSE)</f>
        <v>0</v>
      </c>
      <c r="AJ19" s="11">
        <f>VLOOKUP(AJ9,'Reference Data sheet'!$B$181:$C$191,2,FALSE)</f>
        <v>0</v>
      </c>
      <c r="AK19" s="11">
        <f>VLOOKUP(AK9,'Reference Data sheet'!$B$181:$C$191,2,FALSE)</f>
        <v>0</v>
      </c>
      <c r="AL19" s="11">
        <f>VLOOKUP(AL9,'Reference Data sheet'!$B$181:$C$191,2,FALSE)</f>
        <v>0</v>
      </c>
      <c r="AM19" s="11">
        <f>VLOOKUP(AM9,'Reference Data sheet'!$B$181:$C$191,2,FALSE)</f>
        <v>0</v>
      </c>
      <c r="AN19" s="11">
        <f>VLOOKUP(AN9,'Reference Data sheet'!$B$181:$C$191,2,FALSE)</f>
        <v>0.2</v>
      </c>
      <c r="AO19" s="11">
        <f>VLOOKUP(AO9,'Reference Data sheet'!$B$181:$C$191,2,FALSE)</f>
        <v>0.2</v>
      </c>
      <c r="AP19" s="11">
        <f>VLOOKUP(AP9,'Reference Data sheet'!$B$181:$C$191,2,FALSE)</f>
        <v>0.2</v>
      </c>
      <c r="AQ19" s="11">
        <f>VLOOKUP(AQ9,'Reference Data sheet'!$B$181:$C$191,2,FALSE)</f>
        <v>0.2</v>
      </c>
      <c r="AR19" s="11">
        <f>VLOOKUP(AR9,'Reference Data sheet'!$B$181:$C$191,2,FALSE)</f>
        <v>0.2</v>
      </c>
      <c r="AS19" s="11">
        <f>VLOOKUP(AS9,'Reference Data sheet'!$B$181:$C$191,2,FALSE)</f>
        <v>0.2</v>
      </c>
      <c r="AT19" s="11">
        <f>VLOOKUP(AT9,'Reference Data sheet'!$B$181:$C$191,2,FALSE)</f>
        <v>-0.1</v>
      </c>
      <c r="AU19" s="11">
        <f>VLOOKUP(AU9,'Reference Data sheet'!$B$181:$C$191,2,FALSE)</f>
        <v>0.2</v>
      </c>
      <c r="AV19" s="11">
        <f>VLOOKUP(AV9,'Reference Data sheet'!$B$181:$C$191,2,FALSE)</f>
        <v>0.2</v>
      </c>
      <c r="AW19" s="11">
        <f>VLOOKUP(AW9,'Reference Data sheet'!$B$181:$C$191,2,FALSE)</f>
        <v>0.2</v>
      </c>
      <c r="AX19" s="11">
        <f>VLOOKUP(AX9,'Reference Data sheet'!$B$181:$C$191,2,FALSE)</f>
        <v>0.2</v>
      </c>
      <c r="AY19" s="11">
        <f>VLOOKUP(AY9,'Reference Data sheet'!$B$181:$C$191,2,FALSE)</f>
        <v>0.2</v>
      </c>
      <c r="AZ19" s="11">
        <f>VLOOKUP(AZ9,'Reference Data sheet'!$B$181:$C$191,2,FALSE)</f>
        <v>0.2</v>
      </c>
      <c r="BA19" s="11">
        <f>VLOOKUP(BA9,'Reference Data sheet'!$B$181:$C$191,2,FALSE)</f>
        <v>0.2</v>
      </c>
      <c r="BB19" s="11">
        <f>VLOOKUP(BB9,'Reference Data sheet'!$B$181:$C$191,2,FALSE)</f>
        <v>0</v>
      </c>
      <c r="BC19" s="11">
        <f>VLOOKUP(BC9,'Reference Data sheet'!$B$181:$C$191,2,FALSE)</f>
        <v>0.1</v>
      </c>
      <c r="BD19" s="11">
        <f>VLOOKUP(BD9,'Reference Data sheet'!$B$181:$C$191,2,FALSE)</f>
        <v>0.2</v>
      </c>
      <c r="BE19" s="11">
        <f>VLOOKUP(BE9,'Reference Data sheet'!$B$181:$C$191,2,FALSE)</f>
        <v>0</v>
      </c>
      <c r="BF19" s="11">
        <f>VLOOKUP(BF9,'Reference Data sheet'!$B$181:$C$191,2,FALSE)</f>
        <v>0.2</v>
      </c>
      <c r="BG19" s="11">
        <f>VLOOKUP(BG9,'Reference Data sheet'!$B$181:$C$191,2,FALSE)</f>
        <v>0.2</v>
      </c>
      <c r="BH19" s="11">
        <f>VLOOKUP(BH9,'Reference Data sheet'!$B$181:$C$191,2,FALSE)</f>
        <v>0.1</v>
      </c>
      <c r="BI19" s="11">
        <f>VLOOKUP(BI9,'Reference Data sheet'!$B$181:$C$191,2,FALSE)</f>
        <v>-0.2</v>
      </c>
      <c r="BJ19" s="2" t="s">
        <v>67</v>
      </c>
    </row>
    <row r="20" spans="1:63">
      <c r="A20" s="10" t="s">
        <v>10</v>
      </c>
      <c r="B20" s="11">
        <f>IF(B10&lt;'Reference Data sheet'!$B$198,'Reference Data sheet'!$C$197,IF(B10&lt;'Reference Data sheet'!$B$199,'Reference Data sheet'!$C$198,IF(B10&lt;'Reference Data sheet'!$B$200,'Reference Data sheet'!$C$199,IF(B10&lt;'Reference Data sheet'!$B$201,'Reference Data sheet'!$C$200,'Reference Data sheet'!$C$201))))</f>
        <v>0.6</v>
      </c>
      <c r="C20" s="11">
        <f>IF(C10&lt;'Reference Data sheet'!$B$198,'Reference Data sheet'!$C$197,IF(C10&lt;'Reference Data sheet'!$B$199,'Reference Data sheet'!$C$198,IF(C10&lt;'Reference Data sheet'!$B$200,'Reference Data sheet'!$C$199,IF(C10&lt;'Reference Data sheet'!$B$201,'Reference Data sheet'!$C$200,'Reference Data sheet'!$C$201))))</f>
        <v>0.6</v>
      </c>
      <c r="D20" s="11">
        <f>IF(D10&lt;'Reference Data sheet'!$B$198,'Reference Data sheet'!$C$197,IF(D10&lt;'Reference Data sheet'!$B$199,'Reference Data sheet'!$C$198,IF(D10&lt;'Reference Data sheet'!$B$200,'Reference Data sheet'!$C$199,IF(D10&lt;'Reference Data sheet'!$B$201,'Reference Data sheet'!$C$200,'Reference Data sheet'!$C$201))))</f>
        <v>0.6</v>
      </c>
      <c r="E20" s="11">
        <f>IF(E10&lt;'Reference Data sheet'!$B$198,'Reference Data sheet'!$C$197,IF(E10&lt;'Reference Data sheet'!$B$199,'Reference Data sheet'!$C$198,IF(E10&lt;'Reference Data sheet'!$B$200,'Reference Data sheet'!$C$199,IF(E10&lt;'Reference Data sheet'!$B$201,'Reference Data sheet'!$C$200,'Reference Data sheet'!$C$201))))</f>
        <v>0.6</v>
      </c>
      <c r="F20" s="11">
        <f>IF(F10&lt;'Reference Data sheet'!$B$198,'Reference Data sheet'!$C$197,IF(F10&lt;'Reference Data sheet'!$B$199,'Reference Data sheet'!$C$198,IF(F10&lt;'Reference Data sheet'!$B$200,'Reference Data sheet'!$C$199,IF(F10&lt;'Reference Data sheet'!$B$201,'Reference Data sheet'!$C$200,'Reference Data sheet'!$C$201))))</f>
        <v>0.6</v>
      </c>
      <c r="G20" s="11">
        <f>IF(G10&lt;'Reference Data sheet'!$B$198,'Reference Data sheet'!$C$197,IF(G10&lt;'Reference Data sheet'!$B$199,'Reference Data sheet'!$C$198,IF(G10&lt;'Reference Data sheet'!$B$200,'Reference Data sheet'!$C$199,IF(G10&lt;'Reference Data sheet'!$B$201,'Reference Data sheet'!$C$200,'Reference Data sheet'!$C$201))))</f>
        <v>0.6</v>
      </c>
      <c r="H20" s="11">
        <f>IF(H10&lt;'Reference Data sheet'!$B$198,'Reference Data sheet'!$C$197,IF(H10&lt;'Reference Data sheet'!$B$199,'Reference Data sheet'!$C$198,IF(H10&lt;'Reference Data sheet'!$B$200,'Reference Data sheet'!$C$199,IF(H10&lt;'Reference Data sheet'!$B$201,'Reference Data sheet'!$C$200,'Reference Data sheet'!$C$201))))</f>
        <v>0.6</v>
      </c>
      <c r="I20" s="11">
        <f>IF(I10&lt;'Reference Data sheet'!$B$198,'Reference Data sheet'!$C$197,IF(I10&lt;'Reference Data sheet'!$B$199,'Reference Data sheet'!$C$198,IF(I10&lt;'Reference Data sheet'!$B$200,'Reference Data sheet'!$C$199,IF(I10&lt;'Reference Data sheet'!$B$201,'Reference Data sheet'!$C$200,'Reference Data sheet'!$C$201))))</f>
        <v>0.6</v>
      </c>
      <c r="J20" s="11">
        <f>IF(J10&lt;'Reference Data sheet'!$B$198,'Reference Data sheet'!$C$197,IF(J10&lt;'Reference Data sheet'!$B$199,'Reference Data sheet'!$C$198,IF(J10&lt;'Reference Data sheet'!$B$200,'Reference Data sheet'!$C$199,IF(J10&lt;'Reference Data sheet'!$B$201,'Reference Data sheet'!$C$200,'Reference Data sheet'!$C$201))))</f>
        <v>0.6</v>
      </c>
      <c r="K20" s="11">
        <f>IF(K10&lt;'Reference Data sheet'!$B$198,'Reference Data sheet'!$C$197,IF(K10&lt;'Reference Data sheet'!$B$199,'Reference Data sheet'!$C$198,IF(K10&lt;'Reference Data sheet'!$B$200,'Reference Data sheet'!$C$199,IF(K10&lt;'Reference Data sheet'!$B$201,'Reference Data sheet'!$C$200,'Reference Data sheet'!$C$201))))</f>
        <v>0.6</v>
      </c>
      <c r="L20" s="11">
        <f>IF(L10&lt;'Reference Data sheet'!$B$198,'Reference Data sheet'!$C$197,IF(L10&lt;'Reference Data sheet'!$B$199,'Reference Data sheet'!$C$198,IF(L10&lt;'Reference Data sheet'!$B$200,'Reference Data sheet'!$C$199,IF(L10&lt;'Reference Data sheet'!$B$201,'Reference Data sheet'!$C$200,'Reference Data sheet'!$C$201))))</f>
        <v>0.6</v>
      </c>
      <c r="M20" s="11">
        <f>IF(M10&lt;'Reference Data sheet'!$B$198,'Reference Data sheet'!$C$197,IF(M10&lt;'Reference Data sheet'!$B$199,'Reference Data sheet'!$C$198,IF(M10&lt;'Reference Data sheet'!$B$200,'Reference Data sheet'!$C$199,IF(M10&lt;'Reference Data sheet'!$B$201,'Reference Data sheet'!$C$200,'Reference Data sheet'!$C$201))))</f>
        <v>0.6</v>
      </c>
      <c r="N20" s="11">
        <f>IF(N10&lt;'Reference Data sheet'!$B$198,'Reference Data sheet'!$C$197,IF(N10&lt;'Reference Data sheet'!$B$199,'Reference Data sheet'!$C$198,IF(N10&lt;'Reference Data sheet'!$B$200,'Reference Data sheet'!$C$199,IF(N10&lt;'Reference Data sheet'!$B$201,'Reference Data sheet'!$C$200,'Reference Data sheet'!$C$201))))</f>
        <v>0.6</v>
      </c>
      <c r="O20" s="11">
        <f>IF(O10&lt;'Reference Data sheet'!$B$198,'Reference Data sheet'!$C$197,IF(O10&lt;'Reference Data sheet'!$B$199,'Reference Data sheet'!$C$198,IF(O10&lt;'Reference Data sheet'!$B$200,'Reference Data sheet'!$C$199,IF(O10&lt;'Reference Data sheet'!$B$201,'Reference Data sheet'!$C$200,'Reference Data sheet'!$C$201))))</f>
        <v>0.6</v>
      </c>
      <c r="P20" s="11">
        <f>IF(P10&lt;'Reference Data sheet'!$B$198,'Reference Data sheet'!$C$197,IF(P10&lt;'Reference Data sheet'!$B$199,'Reference Data sheet'!$C$198,IF(P10&lt;'Reference Data sheet'!$B$200,'Reference Data sheet'!$C$199,IF(P10&lt;'Reference Data sheet'!$B$201,'Reference Data sheet'!$C$200,'Reference Data sheet'!$C$201))))</f>
        <v>0.6</v>
      </c>
      <c r="Q20" s="11">
        <f>IF(Q10&lt;'Reference Data sheet'!$B$198,'Reference Data sheet'!$C$197,IF(Q10&lt;'Reference Data sheet'!$B$199,'Reference Data sheet'!$C$198,IF(Q10&lt;'Reference Data sheet'!$B$200,'Reference Data sheet'!$C$199,IF(Q10&lt;'Reference Data sheet'!$B$201,'Reference Data sheet'!$C$200,'Reference Data sheet'!$C$201))))</f>
        <v>0.6</v>
      </c>
      <c r="R20" s="11">
        <f>IF(R10&lt;'Reference Data sheet'!$B$198,'Reference Data sheet'!$C$197,IF(R10&lt;'Reference Data sheet'!$B$199,'Reference Data sheet'!$C$198,IF(R10&lt;'Reference Data sheet'!$B$200,'Reference Data sheet'!$C$199,IF(R10&lt;'Reference Data sheet'!$B$201,'Reference Data sheet'!$C$200,'Reference Data sheet'!$C$201))))</f>
        <v>0.6</v>
      </c>
      <c r="S20" s="11">
        <f>IF(S10&lt;'Reference Data sheet'!$B$198,'Reference Data sheet'!$C$197,IF(S10&lt;'Reference Data sheet'!$B$199,'Reference Data sheet'!$C$198,IF(S10&lt;'Reference Data sheet'!$B$200,'Reference Data sheet'!$C$199,IF(S10&lt;'Reference Data sheet'!$B$201,'Reference Data sheet'!$C$200,'Reference Data sheet'!$C$201))))</f>
        <v>0.6</v>
      </c>
      <c r="T20" s="11">
        <f>IF(T10&lt;'Reference Data sheet'!$B$198,'Reference Data sheet'!$C$197,IF(T10&lt;'Reference Data sheet'!$B$199,'Reference Data sheet'!$C$198,IF(T10&lt;'Reference Data sheet'!$B$200,'Reference Data sheet'!$C$199,IF(T10&lt;'Reference Data sheet'!$B$201,'Reference Data sheet'!$C$200,'Reference Data sheet'!$C$201))))</f>
        <v>0.6</v>
      </c>
      <c r="U20" s="11">
        <f>IF(U10&lt;'Reference Data sheet'!$B$198,'Reference Data sheet'!$C$197,IF(U10&lt;'Reference Data sheet'!$B$199,'Reference Data sheet'!$C$198,IF(U10&lt;'Reference Data sheet'!$B$200,'Reference Data sheet'!$C$199,IF(U10&lt;'Reference Data sheet'!$B$201,'Reference Data sheet'!$C$200,'Reference Data sheet'!$C$201))))</f>
        <v>0.6</v>
      </c>
      <c r="V20" s="11">
        <f>IF(V10&lt;'Reference Data sheet'!$B$198,'Reference Data sheet'!$C$197,IF(V10&lt;'Reference Data sheet'!$B$199,'Reference Data sheet'!$C$198,IF(V10&lt;'Reference Data sheet'!$B$200,'Reference Data sheet'!$C$199,IF(V10&lt;'Reference Data sheet'!$B$201,'Reference Data sheet'!$C$200,'Reference Data sheet'!$C$201))))</f>
        <v>0.6</v>
      </c>
      <c r="W20" s="11">
        <f>IF(W10&lt;'Reference Data sheet'!$B$198,'Reference Data sheet'!$C$197,IF(W10&lt;'Reference Data sheet'!$B$199,'Reference Data sheet'!$C$198,IF(W10&lt;'Reference Data sheet'!$B$200,'Reference Data sheet'!$C$199,IF(W10&lt;'Reference Data sheet'!$B$201,'Reference Data sheet'!$C$200,'Reference Data sheet'!$C$201))))</f>
        <v>0.6</v>
      </c>
      <c r="X20" s="11">
        <f>IF(X10&lt;'Reference Data sheet'!$B$198,'Reference Data sheet'!$C$197,IF(X10&lt;'Reference Data sheet'!$B$199,'Reference Data sheet'!$C$198,IF(X10&lt;'Reference Data sheet'!$B$200,'Reference Data sheet'!$C$199,IF(X10&lt;'Reference Data sheet'!$B$201,'Reference Data sheet'!$C$200,'Reference Data sheet'!$C$201))))</f>
        <v>0.6</v>
      </c>
      <c r="Y20" s="11">
        <f>IF(Y10&lt;'Reference Data sheet'!$B$198,'Reference Data sheet'!$C$197,IF(Y10&lt;'Reference Data sheet'!$B$199,'Reference Data sheet'!$C$198,IF(Y10&lt;'Reference Data sheet'!$B$200,'Reference Data sheet'!$C$199,IF(Y10&lt;'Reference Data sheet'!$B$201,'Reference Data sheet'!$C$200,'Reference Data sheet'!$C$201))))</f>
        <v>0.6</v>
      </c>
      <c r="Z20" s="11">
        <f>IF(Z10&lt;'Reference Data sheet'!$B$198,'Reference Data sheet'!$C$197,IF(Z10&lt;'Reference Data sheet'!$B$199,'Reference Data sheet'!$C$198,IF(Z10&lt;'Reference Data sheet'!$B$200,'Reference Data sheet'!$C$199,IF(Z10&lt;'Reference Data sheet'!$B$201,'Reference Data sheet'!$C$200,'Reference Data sheet'!$C$201))))</f>
        <v>0.6</v>
      </c>
      <c r="AA20" s="11">
        <f>IF(AA10&lt;'Reference Data sheet'!$B$198,'Reference Data sheet'!$C$197,IF(AA10&lt;'Reference Data sheet'!$B$199,'Reference Data sheet'!$C$198,IF(AA10&lt;'Reference Data sheet'!$B$200,'Reference Data sheet'!$C$199,IF(AA10&lt;'Reference Data sheet'!$B$201,'Reference Data sheet'!$C$200,'Reference Data sheet'!$C$201))))</f>
        <v>0.6</v>
      </c>
      <c r="AB20" s="11">
        <f>IF(AB10&lt;'Reference Data sheet'!$B$198,'Reference Data sheet'!$C$197,IF(AB10&lt;'Reference Data sheet'!$B$199,'Reference Data sheet'!$C$198,IF(AB10&lt;'Reference Data sheet'!$B$200,'Reference Data sheet'!$C$199,IF(AB10&lt;'Reference Data sheet'!$B$201,'Reference Data sheet'!$C$200,'Reference Data sheet'!$C$201))))</f>
        <v>0.6</v>
      </c>
      <c r="AC20" s="11">
        <f>IF(AC10&lt;'Reference Data sheet'!$B$198,'Reference Data sheet'!$C$197,IF(AC10&lt;'Reference Data sheet'!$B$199,'Reference Data sheet'!$C$198,IF(AC10&lt;'Reference Data sheet'!$B$200,'Reference Data sheet'!$C$199,IF(AC10&lt;'Reference Data sheet'!$B$201,'Reference Data sheet'!$C$200,'Reference Data sheet'!$C$201))))</f>
        <v>0.6</v>
      </c>
      <c r="AD20" s="11">
        <f>IF(AD10&lt;'Reference Data sheet'!$B$198,'Reference Data sheet'!$C$197,IF(AD10&lt;'Reference Data sheet'!$B$199,'Reference Data sheet'!$C$198,IF(AD10&lt;'Reference Data sheet'!$B$200,'Reference Data sheet'!$C$199,IF(AD10&lt;'Reference Data sheet'!$B$201,'Reference Data sheet'!$C$200,'Reference Data sheet'!$C$201))))</f>
        <v>0.6</v>
      </c>
      <c r="AE20" s="11">
        <f>IF(AE10&lt;'Reference Data sheet'!$B$198,'Reference Data sheet'!$C$197,IF(AE10&lt;'Reference Data sheet'!$B$199,'Reference Data sheet'!$C$198,IF(AE10&lt;'Reference Data sheet'!$B$200,'Reference Data sheet'!$C$199,IF(AE10&lt;'Reference Data sheet'!$B$201,'Reference Data sheet'!$C$200,'Reference Data sheet'!$C$201))))</f>
        <v>0.6</v>
      </c>
      <c r="AF20" s="11">
        <f>IF(AF10&lt;'Reference Data sheet'!$B$198,'Reference Data sheet'!$C$197,IF(AF10&lt;'Reference Data sheet'!$B$199,'Reference Data sheet'!$C$198,IF(AF10&lt;'Reference Data sheet'!$B$200,'Reference Data sheet'!$C$199,IF(AF10&lt;'Reference Data sheet'!$B$201,'Reference Data sheet'!$C$200,'Reference Data sheet'!$C$201))))</f>
        <v>0.6</v>
      </c>
      <c r="AG20" s="11">
        <f>IF(AG10&lt;'Reference Data sheet'!$B$198,'Reference Data sheet'!$C$197,IF(AG10&lt;'Reference Data sheet'!$B$199,'Reference Data sheet'!$C$198,IF(AG10&lt;'Reference Data sheet'!$B$200,'Reference Data sheet'!$C$199,IF(AG10&lt;'Reference Data sheet'!$B$201,'Reference Data sheet'!$C$200,'Reference Data sheet'!$C$201))))</f>
        <v>0.6</v>
      </c>
      <c r="AH20" s="11">
        <f>IF(AH10&lt;'Reference Data sheet'!$B$198,'Reference Data sheet'!$C$197,IF(AH10&lt;'Reference Data sheet'!$B$199,'Reference Data sheet'!$C$198,IF(AH10&lt;'Reference Data sheet'!$B$200,'Reference Data sheet'!$C$199,IF(AH10&lt;'Reference Data sheet'!$B$201,'Reference Data sheet'!$C$200,'Reference Data sheet'!$C$201))))</f>
        <v>0.6</v>
      </c>
      <c r="AI20" s="11">
        <f>IF(AI10&lt;'Reference Data sheet'!$B$198,'Reference Data sheet'!$C$197,IF(AI10&lt;'Reference Data sheet'!$B$199,'Reference Data sheet'!$C$198,IF(AI10&lt;'Reference Data sheet'!$B$200,'Reference Data sheet'!$C$199,IF(AI10&lt;'Reference Data sheet'!$B$201,'Reference Data sheet'!$C$200,'Reference Data sheet'!$C$201))))</f>
        <v>0.6</v>
      </c>
      <c r="AJ20" s="11">
        <f>IF(AJ10&lt;'Reference Data sheet'!$B$198,'Reference Data sheet'!$C$197,IF(AJ10&lt;'Reference Data sheet'!$B$199,'Reference Data sheet'!$C$198,IF(AJ10&lt;'Reference Data sheet'!$B$200,'Reference Data sheet'!$C$199,IF(AJ10&lt;'Reference Data sheet'!$B$201,'Reference Data sheet'!$C$200,'Reference Data sheet'!$C$201))))</f>
        <v>0.6</v>
      </c>
      <c r="AK20" s="11">
        <f>IF(AK10&lt;'Reference Data sheet'!$B$198,'Reference Data sheet'!$C$197,IF(AK10&lt;'Reference Data sheet'!$B$199,'Reference Data sheet'!$C$198,IF(AK10&lt;'Reference Data sheet'!$B$200,'Reference Data sheet'!$C$199,IF(AK10&lt;'Reference Data sheet'!$B$201,'Reference Data sheet'!$C$200,'Reference Data sheet'!$C$201))))</f>
        <v>0.6</v>
      </c>
      <c r="AL20" s="11">
        <f>IF(AL10&lt;'Reference Data sheet'!$B$198,'Reference Data sheet'!$C$197,IF(AL10&lt;'Reference Data sheet'!$B$199,'Reference Data sheet'!$C$198,IF(AL10&lt;'Reference Data sheet'!$B$200,'Reference Data sheet'!$C$199,IF(AL10&lt;'Reference Data sheet'!$B$201,'Reference Data sheet'!$C$200,'Reference Data sheet'!$C$201))))</f>
        <v>0.6</v>
      </c>
      <c r="AM20" s="11">
        <f>IF(AM10&lt;'Reference Data sheet'!$B$198,'Reference Data sheet'!$C$197,IF(AM10&lt;'Reference Data sheet'!$B$199,'Reference Data sheet'!$C$198,IF(AM10&lt;'Reference Data sheet'!$B$200,'Reference Data sheet'!$C$199,IF(AM10&lt;'Reference Data sheet'!$B$201,'Reference Data sheet'!$C$200,'Reference Data sheet'!$C$201))))</f>
        <v>0.6</v>
      </c>
      <c r="AN20" s="11">
        <f>IF(AN10&lt;'Reference Data sheet'!$B$198,'Reference Data sheet'!$C$197,IF(AN10&lt;'Reference Data sheet'!$B$199,'Reference Data sheet'!$C$198,IF(AN10&lt;'Reference Data sheet'!$B$200,'Reference Data sheet'!$C$199,IF(AN10&lt;'Reference Data sheet'!$B$201,'Reference Data sheet'!$C$200,'Reference Data sheet'!$C$201))))</f>
        <v>0.6</v>
      </c>
      <c r="AO20" s="11">
        <f>IF(AO10&lt;'Reference Data sheet'!$B$198,'Reference Data sheet'!$C$197,IF(AO10&lt;'Reference Data sheet'!$B$199,'Reference Data sheet'!$C$198,IF(AO10&lt;'Reference Data sheet'!$B$200,'Reference Data sheet'!$C$199,IF(AO10&lt;'Reference Data sheet'!$B$201,'Reference Data sheet'!$C$200,'Reference Data sheet'!$C$201))))</f>
        <v>0.6</v>
      </c>
      <c r="AP20" s="11">
        <f>IF(AP10&lt;'Reference Data sheet'!$B$198,'Reference Data sheet'!$C$197,IF(AP10&lt;'Reference Data sheet'!$B$199,'Reference Data sheet'!$C$198,IF(AP10&lt;'Reference Data sheet'!$B$200,'Reference Data sheet'!$C$199,IF(AP10&lt;'Reference Data sheet'!$B$201,'Reference Data sheet'!$C$200,'Reference Data sheet'!$C$201))))</f>
        <v>0.6</v>
      </c>
      <c r="AQ20" s="11">
        <f>IF(AQ10&lt;'Reference Data sheet'!$B$198,'Reference Data sheet'!$C$197,IF(AQ10&lt;'Reference Data sheet'!$B$199,'Reference Data sheet'!$C$198,IF(AQ10&lt;'Reference Data sheet'!$B$200,'Reference Data sheet'!$C$199,IF(AQ10&lt;'Reference Data sheet'!$B$201,'Reference Data sheet'!$C$200,'Reference Data sheet'!$C$201))))</f>
        <v>0.6</v>
      </c>
      <c r="AR20" s="11">
        <f>IF(AR10&lt;'Reference Data sheet'!$B$198,'Reference Data sheet'!$C$197,IF(AR10&lt;'Reference Data sheet'!$B$199,'Reference Data sheet'!$C$198,IF(AR10&lt;'Reference Data sheet'!$B$200,'Reference Data sheet'!$C$199,IF(AR10&lt;'Reference Data sheet'!$B$201,'Reference Data sheet'!$C$200,'Reference Data sheet'!$C$201))))</f>
        <v>0.6</v>
      </c>
      <c r="AS20" s="11">
        <f>IF(AS10&lt;'Reference Data sheet'!$B$198,'Reference Data sheet'!$C$197,IF(AS10&lt;'Reference Data sheet'!$B$199,'Reference Data sheet'!$C$198,IF(AS10&lt;'Reference Data sheet'!$B$200,'Reference Data sheet'!$C$199,IF(AS10&lt;'Reference Data sheet'!$B$201,'Reference Data sheet'!$C$200,'Reference Data sheet'!$C$201))))</f>
        <v>0.6</v>
      </c>
      <c r="AT20" s="11">
        <f>IF(AT10&lt;'Reference Data sheet'!$B$198,'Reference Data sheet'!$C$197,IF(AT10&lt;'Reference Data sheet'!$B$199,'Reference Data sheet'!$C$198,IF(AT10&lt;'Reference Data sheet'!$B$200,'Reference Data sheet'!$C$199,IF(AT10&lt;'Reference Data sheet'!$B$201,'Reference Data sheet'!$C$200,'Reference Data sheet'!$C$201))))</f>
        <v>0.6</v>
      </c>
      <c r="AU20" s="11">
        <f>IF(AU10&lt;'Reference Data sheet'!$B$198,'Reference Data sheet'!$C$197,IF(AU10&lt;'Reference Data sheet'!$B$199,'Reference Data sheet'!$C$198,IF(AU10&lt;'Reference Data sheet'!$B$200,'Reference Data sheet'!$C$199,IF(AU10&lt;'Reference Data sheet'!$B$201,'Reference Data sheet'!$C$200,'Reference Data sheet'!$C$201))))</f>
        <v>0.6</v>
      </c>
      <c r="AV20" s="11">
        <f>IF(AV10&lt;'Reference Data sheet'!$B$198,'Reference Data sheet'!$C$197,IF(AV10&lt;'Reference Data sheet'!$B$199,'Reference Data sheet'!$C$198,IF(AV10&lt;'Reference Data sheet'!$B$200,'Reference Data sheet'!$C$199,IF(AV10&lt;'Reference Data sheet'!$B$201,'Reference Data sheet'!$C$200,'Reference Data sheet'!$C$201))))</f>
        <v>0.6</v>
      </c>
      <c r="AW20" s="11">
        <f>IF(AW10&lt;'Reference Data sheet'!$B$198,'Reference Data sheet'!$C$197,IF(AW10&lt;'Reference Data sheet'!$B$199,'Reference Data sheet'!$C$198,IF(AW10&lt;'Reference Data sheet'!$B$200,'Reference Data sheet'!$C$199,IF(AW10&lt;'Reference Data sheet'!$B$201,'Reference Data sheet'!$C$200,'Reference Data sheet'!$C$201))))</f>
        <v>0.6</v>
      </c>
      <c r="AX20" s="11">
        <f>IF(AX10&lt;'Reference Data sheet'!$B$198,'Reference Data sheet'!$C$197,IF(AX10&lt;'Reference Data sheet'!$B$199,'Reference Data sheet'!$C$198,IF(AX10&lt;'Reference Data sheet'!$B$200,'Reference Data sheet'!$C$199,IF(AX10&lt;'Reference Data sheet'!$B$201,'Reference Data sheet'!$C$200,'Reference Data sheet'!$C$201))))</f>
        <v>0.6</v>
      </c>
      <c r="AY20" s="11">
        <f>IF(AY10&lt;'Reference Data sheet'!$B$198,'Reference Data sheet'!$C$197,IF(AY10&lt;'Reference Data sheet'!$B$199,'Reference Data sheet'!$C$198,IF(AY10&lt;'Reference Data sheet'!$B$200,'Reference Data sheet'!$C$199,IF(AY10&lt;'Reference Data sheet'!$B$201,'Reference Data sheet'!$C$200,'Reference Data sheet'!$C$201))))</f>
        <v>0.6</v>
      </c>
      <c r="AZ20" s="11">
        <f>IF(AZ10&lt;'Reference Data sheet'!$B$198,'Reference Data sheet'!$C$197,IF(AZ10&lt;'Reference Data sheet'!$B$199,'Reference Data sheet'!$C$198,IF(AZ10&lt;'Reference Data sheet'!$B$200,'Reference Data sheet'!$C$199,IF(AZ10&lt;'Reference Data sheet'!$B$201,'Reference Data sheet'!$C$200,'Reference Data sheet'!$C$201))))</f>
        <v>0.6</v>
      </c>
      <c r="BA20" s="11">
        <f>IF(BA10&lt;'Reference Data sheet'!$B$198,'Reference Data sheet'!$C$197,IF(BA10&lt;'Reference Data sheet'!$B$199,'Reference Data sheet'!$C$198,IF(BA10&lt;'Reference Data sheet'!$B$200,'Reference Data sheet'!$C$199,IF(BA10&lt;'Reference Data sheet'!$B$201,'Reference Data sheet'!$C$200,'Reference Data sheet'!$C$201))))</f>
        <v>0.6</v>
      </c>
      <c r="BB20" s="11">
        <f>IF(BB10&lt;'Reference Data sheet'!$B$198,'Reference Data sheet'!$C$197,IF(BB10&lt;'Reference Data sheet'!$B$199,'Reference Data sheet'!$C$198,IF(BB10&lt;'Reference Data sheet'!$B$200,'Reference Data sheet'!$C$199,IF(BB10&lt;'Reference Data sheet'!$B$201,'Reference Data sheet'!$C$200,'Reference Data sheet'!$C$201))))</f>
        <v>0.6</v>
      </c>
      <c r="BC20" s="11">
        <f>IF(BC10&lt;'Reference Data sheet'!$B$198,'Reference Data sheet'!$C$197,IF(BC10&lt;'Reference Data sheet'!$B$199,'Reference Data sheet'!$C$198,IF(BC10&lt;'Reference Data sheet'!$B$200,'Reference Data sheet'!$C$199,IF(BC10&lt;'Reference Data sheet'!$B$201,'Reference Data sheet'!$C$200,'Reference Data sheet'!$C$201))))</f>
        <v>0.6</v>
      </c>
      <c r="BD20" s="11">
        <f>IF(BD10&lt;'Reference Data sheet'!$B$198,'Reference Data sheet'!$C$197,IF(BD10&lt;'Reference Data sheet'!$B$199,'Reference Data sheet'!$C$198,IF(BD10&lt;'Reference Data sheet'!$B$200,'Reference Data sheet'!$C$199,IF(BD10&lt;'Reference Data sheet'!$B$201,'Reference Data sheet'!$C$200,'Reference Data sheet'!$C$201))))</f>
        <v>0.6</v>
      </c>
      <c r="BE20" s="11">
        <f>IF(BE10&lt;'Reference Data sheet'!$B$198,'Reference Data sheet'!$C$197,IF(BE10&lt;'Reference Data sheet'!$B$199,'Reference Data sheet'!$C$198,IF(BE10&lt;'Reference Data sheet'!$B$200,'Reference Data sheet'!$C$199,IF(BE10&lt;'Reference Data sheet'!$B$201,'Reference Data sheet'!$C$200,'Reference Data sheet'!$C$201))))</f>
        <v>0.6</v>
      </c>
      <c r="BF20" s="11">
        <f>IF(BF10&lt;'Reference Data sheet'!$B$198,'Reference Data sheet'!$C$197,IF(BF10&lt;'Reference Data sheet'!$B$199,'Reference Data sheet'!$C$198,IF(BF10&lt;'Reference Data sheet'!$B$200,'Reference Data sheet'!$C$199,IF(BF10&lt;'Reference Data sheet'!$B$201,'Reference Data sheet'!$C$200,'Reference Data sheet'!$C$201))))</f>
        <v>0.6</v>
      </c>
      <c r="BG20" s="11">
        <f>IF(BG10&lt;'Reference Data sheet'!$B$198,'Reference Data sheet'!$C$197,IF(BG10&lt;'Reference Data sheet'!$B$199,'Reference Data sheet'!$C$198,IF(BG10&lt;'Reference Data sheet'!$B$200,'Reference Data sheet'!$C$199,IF(BG10&lt;'Reference Data sheet'!$B$201,'Reference Data sheet'!$C$200,'Reference Data sheet'!$C$201))))</f>
        <v>0.6</v>
      </c>
      <c r="BH20" s="11">
        <f>IF(BH10&lt;'Reference Data sheet'!$B$198,'Reference Data sheet'!$C$197,IF(BH10&lt;'Reference Data sheet'!$B$199,'Reference Data sheet'!$C$198,IF(BH10&lt;'Reference Data sheet'!$B$200,'Reference Data sheet'!$C$199,IF(BH10&lt;'Reference Data sheet'!$B$201,'Reference Data sheet'!$C$200,'Reference Data sheet'!$C$201))))</f>
        <v>0.6</v>
      </c>
      <c r="BI20" s="11">
        <f>IF(BI10&lt;'Reference Data sheet'!$B$198,'Reference Data sheet'!$C$197,IF(BI10&lt;'Reference Data sheet'!$B$199,'Reference Data sheet'!$C$198,IF(BI10&lt;'Reference Data sheet'!$B$200,'Reference Data sheet'!$C$199,IF(BI10&lt;'Reference Data sheet'!$B$201,'Reference Data sheet'!$C$200,'Reference Data sheet'!$C$201))))</f>
        <v>0.6</v>
      </c>
      <c r="BJ20" s="2" t="s">
        <v>68</v>
      </c>
    </row>
    <row r="21" spans="1:63">
      <c r="A21" s="10" t="s">
        <v>9</v>
      </c>
      <c r="B21" s="11">
        <f>IF(B14&lt;'Reference Data sheet'!$B$208,'Reference Data sheet'!$C$207,IF(B14&lt;'Reference Data sheet'!$B$209,'Reference Data sheet'!$C$208,IF(B14&lt;'Reference Data sheet'!$B$210,'Reference Data sheet'!$C$209,'Reference Data sheet'!$C$210)))</f>
        <v>0.1</v>
      </c>
      <c r="C21" s="11">
        <f>IF(C14&lt;'Reference Data sheet'!$B$208,'Reference Data sheet'!$C$207,IF(C14&lt;'Reference Data sheet'!$B$209,'Reference Data sheet'!$C$208,IF(C14&lt;'Reference Data sheet'!$B$210,'Reference Data sheet'!$C$209,'Reference Data sheet'!$C$210)))</f>
        <v>0.1</v>
      </c>
      <c r="D21" s="11">
        <f>IF(D14&lt;'Reference Data sheet'!$B$208,'Reference Data sheet'!$C$207,IF(D14&lt;'Reference Data sheet'!$B$209,'Reference Data sheet'!$C$208,IF(D14&lt;'Reference Data sheet'!$B$210,'Reference Data sheet'!$C$209,'Reference Data sheet'!$C$210)))</f>
        <v>0</v>
      </c>
      <c r="E21" s="11">
        <f>IF(E14&lt;'Reference Data sheet'!$B$208,'Reference Data sheet'!$C$207,IF(E14&lt;'Reference Data sheet'!$B$209,'Reference Data sheet'!$C$208,IF(E14&lt;'Reference Data sheet'!$B$210,'Reference Data sheet'!$C$209,'Reference Data sheet'!$C$210)))</f>
        <v>0</v>
      </c>
      <c r="F21" s="11">
        <f>IF(F14&lt;'Reference Data sheet'!$B$208,'Reference Data sheet'!$C$207,IF(F14&lt;'Reference Data sheet'!$B$209,'Reference Data sheet'!$C$208,IF(F14&lt;'Reference Data sheet'!$B$210,'Reference Data sheet'!$C$209,'Reference Data sheet'!$C$210)))</f>
        <v>0</v>
      </c>
      <c r="G21" s="11">
        <f>IF(G14&lt;'Reference Data sheet'!$B$208,'Reference Data sheet'!$C$207,IF(G14&lt;'Reference Data sheet'!$B$209,'Reference Data sheet'!$C$208,IF(G14&lt;'Reference Data sheet'!$B$210,'Reference Data sheet'!$C$209,'Reference Data sheet'!$C$210)))</f>
        <v>-0.3</v>
      </c>
      <c r="H21" s="11">
        <f>IF(H14&lt;'Reference Data sheet'!$B$208,'Reference Data sheet'!$C$207,IF(H14&lt;'Reference Data sheet'!$B$209,'Reference Data sheet'!$C$208,IF(H14&lt;'Reference Data sheet'!$B$210,'Reference Data sheet'!$C$209,'Reference Data sheet'!$C$210)))</f>
        <v>0</v>
      </c>
      <c r="I21" s="11">
        <f>IF(I14&lt;'Reference Data sheet'!$B$208,'Reference Data sheet'!$C$207,IF(I14&lt;'Reference Data sheet'!$B$209,'Reference Data sheet'!$C$208,IF(I14&lt;'Reference Data sheet'!$B$210,'Reference Data sheet'!$C$209,'Reference Data sheet'!$C$210)))</f>
        <v>0</v>
      </c>
      <c r="J21" s="11">
        <f>IF(J14&lt;'Reference Data sheet'!$B$208,'Reference Data sheet'!$C$207,IF(J14&lt;'Reference Data sheet'!$B$209,'Reference Data sheet'!$C$208,IF(J14&lt;'Reference Data sheet'!$B$210,'Reference Data sheet'!$C$209,'Reference Data sheet'!$C$210)))</f>
        <v>0</v>
      </c>
      <c r="K21" s="11">
        <f>IF(K14&lt;'Reference Data sheet'!$B$208,'Reference Data sheet'!$C$207,IF(K14&lt;'Reference Data sheet'!$B$209,'Reference Data sheet'!$C$208,IF(K14&lt;'Reference Data sheet'!$B$210,'Reference Data sheet'!$C$209,'Reference Data sheet'!$C$210)))</f>
        <v>-0.3</v>
      </c>
      <c r="L21" s="11">
        <f>IF(L14&lt;'Reference Data sheet'!$B$208,'Reference Data sheet'!$C$207,IF(L14&lt;'Reference Data sheet'!$B$209,'Reference Data sheet'!$C$208,IF(L14&lt;'Reference Data sheet'!$B$210,'Reference Data sheet'!$C$209,'Reference Data sheet'!$C$210)))</f>
        <v>0.1</v>
      </c>
      <c r="M21" s="11">
        <f>IF(M14&lt;'Reference Data sheet'!$B$208,'Reference Data sheet'!$C$207,IF(M14&lt;'Reference Data sheet'!$B$209,'Reference Data sheet'!$C$208,IF(M14&lt;'Reference Data sheet'!$B$210,'Reference Data sheet'!$C$209,'Reference Data sheet'!$C$210)))</f>
        <v>0.1</v>
      </c>
      <c r="N21" s="11">
        <f>IF(N14&lt;'Reference Data sheet'!$B$208,'Reference Data sheet'!$C$207,IF(N14&lt;'Reference Data sheet'!$B$209,'Reference Data sheet'!$C$208,IF(N14&lt;'Reference Data sheet'!$B$210,'Reference Data sheet'!$C$209,'Reference Data sheet'!$C$210)))</f>
        <v>0</v>
      </c>
      <c r="O21" s="11">
        <f>IF(O14&lt;'Reference Data sheet'!$B$208,'Reference Data sheet'!$C$207,IF(O14&lt;'Reference Data sheet'!$B$209,'Reference Data sheet'!$C$208,IF(O14&lt;'Reference Data sheet'!$B$210,'Reference Data sheet'!$C$209,'Reference Data sheet'!$C$210)))</f>
        <v>0</v>
      </c>
      <c r="P21" s="11">
        <f>IF(P14&lt;'Reference Data sheet'!$B$208,'Reference Data sheet'!$C$207,IF(P14&lt;'Reference Data sheet'!$B$209,'Reference Data sheet'!$C$208,IF(P14&lt;'Reference Data sheet'!$B$210,'Reference Data sheet'!$C$209,'Reference Data sheet'!$C$210)))</f>
        <v>-0.3</v>
      </c>
      <c r="Q21" s="11">
        <f>IF(Q14&lt;'Reference Data sheet'!$B$208,'Reference Data sheet'!$C$207,IF(Q14&lt;'Reference Data sheet'!$B$209,'Reference Data sheet'!$C$208,IF(Q14&lt;'Reference Data sheet'!$B$210,'Reference Data sheet'!$C$209,'Reference Data sheet'!$C$210)))</f>
        <v>0</v>
      </c>
      <c r="R21" s="11">
        <f>IF(R14&lt;'Reference Data sheet'!$B$208,'Reference Data sheet'!$C$207,IF(R14&lt;'Reference Data sheet'!$B$209,'Reference Data sheet'!$C$208,IF(R14&lt;'Reference Data sheet'!$B$210,'Reference Data sheet'!$C$209,'Reference Data sheet'!$C$210)))</f>
        <v>0.1</v>
      </c>
      <c r="S21" s="11">
        <f>IF(S14&lt;'Reference Data sheet'!$B$208,'Reference Data sheet'!$C$207,IF(S14&lt;'Reference Data sheet'!$B$209,'Reference Data sheet'!$C$208,IF(S14&lt;'Reference Data sheet'!$B$210,'Reference Data sheet'!$C$209,'Reference Data sheet'!$C$210)))</f>
        <v>-0.3</v>
      </c>
      <c r="T21" s="11">
        <f>IF(T14&lt;'Reference Data sheet'!$B$208,'Reference Data sheet'!$C$207,IF(T14&lt;'Reference Data sheet'!$B$209,'Reference Data sheet'!$C$208,IF(T14&lt;'Reference Data sheet'!$B$210,'Reference Data sheet'!$C$209,'Reference Data sheet'!$C$210)))</f>
        <v>0.1</v>
      </c>
      <c r="U21" s="11">
        <f>IF(U14&lt;'Reference Data sheet'!$B$208,'Reference Data sheet'!$C$207,IF(U14&lt;'Reference Data sheet'!$B$209,'Reference Data sheet'!$C$208,IF(U14&lt;'Reference Data sheet'!$B$210,'Reference Data sheet'!$C$209,'Reference Data sheet'!$C$210)))</f>
        <v>-0.3</v>
      </c>
      <c r="V21" s="11">
        <f>IF(V14&lt;'Reference Data sheet'!$B$208,'Reference Data sheet'!$C$207,IF(V14&lt;'Reference Data sheet'!$B$209,'Reference Data sheet'!$C$208,IF(V14&lt;'Reference Data sheet'!$B$210,'Reference Data sheet'!$C$209,'Reference Data sheet'!$C$210)))</f>
        <v>0.1</v>
      </c>
      <c r="W21" s="11">
        <f>IF(W14&lt;'Reference Data sheet'!$B$208,'Reference Data sheet'!$C$207,IF(W14&lt;'Reference Data sheet'!$B$209,'Reference Data sheet'!$C$208,IF(W14&lt;'Reference Data sheet'!$B$210,'Reference Data sheet'!$C$209,'Reference Data sheet'!$C$210)))</f>
        <v>0</v>
      </c>
      <c r="X21" s="11">
        <f>IF(X14&lt;'Reference Data sheet'!$B$208,'Reference Data sheet'!$C$207,IF(X14&lt;'Reference Data sheet'!$B$209,'Reference Data sheet'!$C$208,IF(X14&lt;'Reference Data sheet'!$B$210,'Reference Data sheet'!$C$209,'Reference Data sheet'!$C$210)))</f>
        <v>0</v>
      </c>
      <c r="Y21" s="11">
        <f>IF(Y14&lt;'Reference Data sheet'!$B$208,'Reference Data sheet'!$C$207,IF(Y14&lt;'Reference Data sheet'!$B$209,'Reference Data sheet'!$C$208,IF(Y14&lt;'Reference Data sheet'!$B$210,'Reference Data sheet'!$C$209,'Reference Data sheet'!$C$210)))</f>
        <v>-0.3</v>
      </c>
      <c r="Z21" s="11">
        <f>IF(Z14&lt;'Reference Data sheet'!$B$208,'Reference Data sheet'!$C$207,IF(Z14&lt;'Reference Data sheet'!$B$209,'Reference Data sheet'!$C$208,IF(Z14&lt;'Reference Data sheet'!$B$210,'Reference Data sheet'!$C$209,'Reference Data sheet'!$C$210)))</f>
        <v>-0.3</v>
      </c>
      <c r="AA21" s="11">
        <f>IF(AA14&lt;'Reference Data sheet'!$B$208,'Reference Data sheet'!$C$207,IF(AA14&lt;'Reference Data sheet'!$B$209,'Reference Data sheet'!$C$208,IF(AA14&lt;'Reference Data sheet'!$B$210,'Reference Data sheet'!$C$209,'Reference Data sheet'!$C$210)))</f>
        <v>0</v>
      </c>
      <c r="AB21" s="11">
        <f>IF(AB14&lt;'Reference Data sheet'!$B$208,'Reference Data sheet'!$C$207,IF(AB14&lt;'Reference Data sheet'!$B$209,'Reference Data sheet'!$C$208,IF(AB14&lt;'Reference Data sheet'!$B$210,'Reference Data sheet'!$C$209,'Reference Data sheet'!$C$210)))</f>
        <v>0</v>
      </c>
      <c r="AC21" s="11">
        <f>IF(AC14&lt;'Reference Data sheet'!$B$208,'Reference Data sheet'!$C$207,IF(AC14&lt;'Reference Data sheet'!$B$209,'Reference Data sheet'!$C$208,IF(AC14&lt;'Reference Data sheet'!$B$210,'Reference Data sheet'!$C$209,'Reference Data sheet'!$C$210)))</f>
        <v>0.1</v>
      </c>
      <c r="AD21" s="11">
        <f>IF(AD14&lt;'Reference Data sheet'!$B$208,'Reference Data sheet'!$C$207,IF(AD14&lt;'Reference Data sheet'!$B$209,'Reference Data sheet'!$C$208,IF(AD14&lt;'Reference Data sheet'!$B$210,'Reference Data sheet'!$C$209,'Reference Data sheet'!$C$210)))</f>
        <v>-0.3</v>
      </c>
      <c r="AE21" s="11">
        <f>IF(AE14&lt;'Reference Data sheet'!$B$208,'Reference Data sheet'!$C$207,IF(AE14&lt;'Reference Data sheet'!$B$209,'Reference Data sheet'!$C$208,IF(AE14&lt;'Reference Data sheet'!$B$210,'Reference Data sheet'!$C$209,'Reference Data sheet'!$C$210)))</f>
        <v>0</v>
      </c>
      <c r="AF21" s="11">
        <f>IF(AF14&lt;'Reference Data sheet'!$B$208,'Reference Data sheet'!$C$207,IF(AF14&lt;'Reference Data sheet'!$B$209,'Reference Data sheet'!$C$208,IF(AF14&lt;'Reference Data sheet'!$B$210,'Reference Data sheet'!$C$209,'Reference Data sheet'!$C$210)))</f>
        <v>0</v>
      </c>
      <c r="AG21" s="11">
        <f>IF(AG14&lt;'Reference Data sheet'!$B$208,'Reference Data sheet'!$C$207,IF(AG14&lt;'Reference Data sheet'!$B$209,'Reference Data sheet'!$C$208,IF(AG14&lt;'Reference Data sheet'!$B$210,'Reference Data sheet'!$C$209,'Reference Data sheet'!$C$210)))</f>
        <v>0</v>
      </c>
      <c r="AH21" s="11">
        <f>IF(AH14&lt;'Reference Data sheet'!$B$208,'Reference Data sheet'!$C$207,IF(AH14&lt;'Reference Data sheet'!$B$209,'Reference Data sheet'!$C$208,IF(AH14&lt;'Reference Data sheet'!$B$210,'Reference Data sheet'!$C$209,'Reference Data sheet'!$C$210)))</f>
        <v>-0.3</v>
      </c>
      <c r="AI21" s="11">
        <f>IF(AI14&lt;'Reference Data sheet'!$B$208,'Reference Data sheet'!$C$207,IF(AI14&lt;'Reference Data sheet'!$B$209,'Reference Data sheet'!$C$208,IF(AI14&lt;'Reference Data sheet'!$B$210,'Reference Data sheet'!$C$209,'Reference Data sheet'!$C$210)))</f>
        <v>0.1</v>
      </c>
      <c r="AJ21" s="11">
        <f>IF(AJ14&lt;'Reference Data sheet'!$B$208,'Reference Data sheet'!$C$207,IF(AJ14&lt;'Reference Data sheet'!$B$209,'Reference Data sheet'!$C$208,IF(AJ14&lt;'Reference Data sheet'!$B$210,'Reference Data sheet'!$C$209,'Reference Data sheet'!$C$210)))</f>
        <v>-0.3</v>
      </c>
      <c r="AK21" s="11">
        <f>IF(AK14&lt;'Reference Data sheet'!$B$208,'Reference Data sheet'!$C$207,IF(AK14&lt;'Reference Data sheet'!$B$209,'Reference Data sheet'!$C$208,IF(AK14&lt;'Reference Data sheet'!$B$210,'Reference Data sheet'!$C$209,'Reference Data sheet'!$C$210)))</f>
        <v>0</v>
      </c>
      <c r="AL21" s="11">
        <f>IF(AL14&lt;'Reference Data sheet'!$B$208,'Reference Data sheet'!$C$207,IF(AL14&lt;'Reference Data sheet'!$B$209,'Reference Data sheet'!$C$208,IF(AL14&lt;'Reference Data sheet'!$B$210,'Reference Data sheet'!$C$209,'Reference Data sheet'!$C$210)))</f>
        <v>0</v>
      </c>
      <c r="AM21" s="11">
        <f>IF(AM14&lt;'Reference Data sheet'!$B$208,'Reference Data sheet'!$C$207,IF(AM14&lt;'Reference Data sheet'!$B$209,'Reference Data sheet'!$C$208,IF(AM14&lt;'Reference Data sheet'!$B$210,'Reference Data sheet'!$C$209,'Reference Data sheet'!$C$210)))</f>
        <v>0</v>
      </c>
      <c r="AN21" s="11">
        <f>IF(AN14&lt;'Reference Data sheet'!$B$208,'Reference Data sheet'!$C$207,IF(AN14&lt;'Reference Data sheet'!$B$209,'Reference Data sheet'!$C$208,IF(AN14&lt;'Reference Data sheet'!$B$210,'Reference Data sheet'!$C$209,'Reference Data sheet'!$C$210)))</f>
        <v>0.1</v>
      </c>
      <c r="AO21" s="11">
        <f>IF(AO14&lt;'Reference Data sheet'!$B$208,'Reference Data sheet'!$C$207,IF(AO14&lt;'Reference Data sheet'!$B$209,'Reference Data sheet'!$C$208,IF(AO14&lt;'Reference Data sheet'!$B$210,'Reference Data sheet'!$C$209,'Reference Data sheet'!$C$210)))</f>
        <v>0</v>
      </c>
      <c r="AP21" s="11">
        <f>IF(AP14&lt;'Reference Data sheet'!$B$208,'Reference Data sheet'!$C$207,IF(AP14&lt;'Reference Data sheet'!$B$209,'Reference Data sheet'!$C$208,IF(AP14&lt;'Reference Data sheet'!$B$210,'Reference Data sheet'!$C$209,'Reference Data sheet'!$C$210)))</f>
        <v>-0.3</v>
      </c>
      <c r="AQ21" s="11">
        <f>IF(AQ14&lt;'Reference Data sheet'!$B$208,'Reference Data sheet'!$C$207,IF(AQ14&lt;'Reference Data sheet'!$B$209,'Reference Data sheet'!$C$208,IF(AQ14&lt;'Reference Data sheet'!$B$210,'Reference Data sheet'!$C$209,'Reference Data sheet'!$C$210)))</f>
        <v>-0.3</v>
      </c>
      <c r="AR21" s="11">
        <f>IF(AR14&lt;'Reference Data sheet'!$B$208,'Reference Data sheet'!$C$207,IF(AR14&lt;'Reference Data sheet'!$B$209,'Reference Data sheet'!$C$208,IF(AR14&lt;'Reference Data sheet'!$B$210,'Reference Data sheet'!$C$209,'Reference Data sheet'!$C$210)))</f>
        <v>0</v>
      </c>
      <c r="AS21" s="11">
        <f>IF(AS14&lt;'Reference Data sheet'!$B$208,'Reference Data sheet'!$C$207,IF(AS14&lt;'Reference Data sheet'!$B$209,'Reference Data sheet'!$C$208,IF(AS14&lt;'Reference Data sheet'!$B$210,'Reference Data sheet'!$C$209,'Reference Data sheet'!$C$210)))</f>
        <v>-0.3</v>
      </c>
      <c r="AT21" s="11">
        <f>IF(AT14&lt;'Reference Data sheet'!$B$208,'Reference Data sheet'!$C$207,IF(AT14&lt;'Reference Data sheet'!$B$209,'Reference Data sheet'!$C$208,IF(AT14&lt;'Reference Data sheet'!$B$210,'Reference Data sheet'!$C$209,'Reference Data sheet'!$C$210)))</f>
        <v>0</v>
      </c>
      <c r="AU21" s="11">
        <f>IF(AU14&lt;'Reference Data sheet'!$B$208,'Reference Data sheet'!$C$207,IF(AU14&lt;'Reference Data sheet'!$B$209,'Reference Data sheet'!$C$208,IF(AU14&lt;'Reference Data sheet'!$B$210,'Reference Data sheet'!$C$209,'Reference Data sheet'!$C$210)))</f>
        <v>0</v>
      </c>
      <c r="AV21" s="11">
        <f>IF(AV14&lt;'Reference Data sheet'!$B$208,'Reference Data sheet'!$C$207,IF(AV14&lt;'Reference Data sheet'!$B$209,'Reference Data sheet'!$C$208,IF(AV14&lt;'Reference Data sheet'!$B$210,'Reference Data sheet'!$C$209,'Reference Data sheet'!$C$210)))</f>
        <v>0.1</v>
      </c>
      <c r="AW21" s="11">
        <f>IF(AW14&lt;'Reference Data sheet'!$B$208,'Reference Data sheet'!$C$207,IF(AW14&lt;'Reference Data sheet'!$B$209,'Reference Data sheet'!$C$208,IF(AW14&lt;'Reference Data sheet'!$B$210,'Reference Data sheet'!$C$209,'Reference Data sheet'!$C$210)))</f>
        <v>0</v>
      </c>
      <c r="AX21" s="11">
        <f>IF(AX14&lt;'Reference Data sheet'!$B$208,'Reference Data sheet'!$C$207,IF(AX14&lt;'Reference Data sheet'!$B$209,'Reference Data sheet'!$C$208,IF(AX14&lt;'Reference Data sheet'!$B$210,'Reference Data sheet'!$C$209,'Reference Data sheet'!$C$210)))</f>
        <v>0</v>
      </c>
      <c r="AY21" s="11">
        <f>IF(AY14&lt;'Reference Data sheet'!$B$208,'Reference Data sheet'!$C$207,IF(AY14&lt;'Reference Data sheet'!$B$209,'Reference Data sheet'!$C$208,IF(AY14&lt;'Reference Data sheet'!$B$210,'Reference Data sheet'!$C$209,'Reference Data sheet'!$C$210)))</f>
        <v>0</v>
      </c>
      <c r="AZ21" s="11">
        <f>IF(AZ14&lt;'Reference Data sheet'!$B$208,'Reference Data sheet'!$C$207,IF(AZ14&lt;'Reference Data sheet'!$B$209,'Reference Data sheet'!$C$208,IF(AZ14&lt;'Reference Data sheet'!$B$210,'Reference Data sheet'!$C$209,'Reference Data sheet'!$C$210)))</f>
        <v>0.1</v>
      </c>
      <c r="BA21" s="11">
        <f>IF(BA14&lt;'Reference Data sheet'!$B$208,'Reference Data sheet'!$C$207,IF(BA14&lt;'Reference Data sheet'!$B$209,'Reference Data sheet'!$C$208,IF(BA14&lt;'Reference Data sheet'!$B$210,'Reference Data sheet'!$C$209,'Reference Data sheet'!$C$210)))</f>
        <v>0</v>
      </c>
      <c r="BB21" s="11">
        <f>IF(BB14&lt;'Reference Data sheet'!$B$208,'Reference Data sheet'!$C$207,IF(BB14&lt;'Reference Data sheet'!$B$209,'Reference Data sheet'!$C$208,IF(BB14&lt;'Reference Data sheet'!$B$210,'Reference Data sheet'!$C$209,'Reference Data sheet'!$C$210)))</f>
        <v>-0.3</v>
      </c>
      <c r="BC21" s="11">
        <f>IF(BC14&lt;'Reference Data sheet'!$B$208,'Reference Data sheet'!$C$207,IF(BC14&lt;'Reference Data sheet'!$B$209,'Reference Data sheet'!$C$208,IF(BC14&lt;'Reference Data sheet'!$B$210,'Reference Data sheet'!$C$209,'Reference Data sheet'!$C$210)))</f>
        <v>-0.3</v>
      </c>
      <c r="BD21" s="11">
        <f>IF(BD14&lt;'Reference Data sheet'!$B$208,'Reference Data sheet'!$C$207,IF(BD14&lt;'Reference Data sheet'!$B$209,'Reference Data sheet'!$C$208,IF(BD14&lt;'Reference Data sheet'!$B$210,'Reference Data sheet'!$C$209,'Reference Data sheet'!$C$210)))</f>
        <v>-0.3</v>
      </c>
      <c r="BE21" s="11">
        <f>IF(BE14&lt;'Reference Data sheet'!$B$208,'Reference Data sheet'!$C$207,IF(BE14&lt;'Reference Data sheet'!$B$209,'Reference Data sheet'!$C$208,IF(BE14&lt;'Reference Data sheet'!$B$210,'Reference Data sheet'!$C$209,'Reference Data sheet'!$C$210)))</f>
        <v>-0.3</v>
      </c>
      <c r="BF21" s="11">
        <f>IF(BF14&lt;'Reference Data sheet'!$B$208,'Reference Data sheet'!$C$207,IF(BF14&lt;'Reference Data sheet'!$B$209,'Reference Data sheet'!$C$208,IF(BF14&lt;'Reference Data sheet'!$B$210,'Reference Data sheet'!$C$209,'Reference Data sheet'!$C$210)))</f>
        <v>0.1</v>
      </c>
      <c r="BG21" s="11">
        <f>IF(BG14&lt;'Reference Data sheet'!$B$208,'Reference Data sheet'!$C$207,IF(BG14&lt;'Reference Data sheet'!$B$209,'Reference Data sheet'!$C$208,IF(BG14&lt;'Reference Data sheet'!$B$210,'Reference Data sheet'!$C$209,'Reference Data sheet'!$C$210)))</f>
        <v>-0.3</v>
      </c>
      <c r="BH21" s="11">
        <f>IF(BH14&lt;'Reference Data sheet'!$B$208,'Reference Data sheet'!$C$207,IF(BH14&lt;'Reference Data sheet'!$B$209,'Reference Data sheet'!$C$208,IF(BH14&lt;'Reference Data sheet'!$B$210,'Reference Data sheet'!$C$209,'Reference Data sheet'!$C$210)))</f>
        <v>0</v>
      </c>
      <c r="BI21" s="11">
        <f>IF(BI14&lt;'Reference Data sheet'!$B$208,'Reference Data sheet'!$C$207,IF(BI14&lt;'Reference Data sheet'!$B$209,'Reference Data sheet'!$C$208,IF(BI14&lt;'Reference Data sheet'!$B$210,'Reference Data sheet'!$C$209,'Reference Data sheet'!$C$210)))</f>
        <v>0</v>
      </c>
      <c r="BJ21" s="2" t="s">
        <v>76</v>
      </c>
    </row>
    <row r="22" spans="1:63">
      <c r="A22" s="9" t="s">
        <v>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3" s="5" customFormat="1" ht="55.2">
      <c r="A23" s="10" t="s">
        <v>7</v>
      </c>
      <c r="B23" s="13">
        <f>B18*(1+B19+B20+B21)</f>
        <v>20.9</v>
      </c>
      <c r="C23" s="13">
        <f t="shared" ref="C23:BI23" si="1">C18*(1+C19+C20+C21)</f>
        <v>28.5</v>
      </c>
      <c r="D23" s="13">
        <f t="shared" si="1"/>
        <v>20.7</v>
      </c>
      <c r="E23" s="13">
        <f t="shared" si="1"/>
        <v>38.699999999999996</v>
      </c>
      <c r="F23" s="13">
        <f t="shared" si="1"/>
        <v>18.899999999999999</v>
      </c>
      <c r="G23" s="13">
        <f t="shared" si="1"/>
        <v>11.249999999999998</v>
      </c>
      <c r="H23" s="13">
        <f t="shared" si="1"/>
        <v>23.4</v>
      </c>
      <c r="I23" s="13">
        <f t="shared" si="1"/>
        <v>23.4</v>
      </c>
      <c r="J23" s="13">
        <f t="shared" si="1"/>
        <v>21.599999999999998</v>
      </c>
      <c r="K23" s="13">
        <f t="shared" si="1"/>
        <v>14.999999999999998</v>
      </c>
      <c r="L23" s="13">
        <f t="shared" si="1"/>
        <v>19.95</v>
      </c>
      <c r="M23" s="13">
        <f t="shared" si="1"/>
        <v>19</v>
      </c>
      <c r="N23" s="13">
        <f t="shared" si="1"/>
        <v>18</v>
      </c>
      <c r="O23" s="13">
        <f t="shared" si="1"/>
        <v>38.699999999999996</v>
      </c>
      <c r="P23" s="13">
        <f t="shared" si="1"/>
        <v>19.499999999999996</v>
      </c>
      <c r="Q23" s="13">
        <f t="shared" si="1"/>
        <v>23.4</v>
      </c>
      <c r="R23" s="13">
        <f t="shared" si="1"/>
        <v>33.25</v>
      </c>
      <c r="S23" s="13">
        <f t="shared" si="1"/>
        <v>17.999999999999996</v>
      </c>
      <c r="T23" s="13">
        <f t="shared" si="1"/>
        <v>17.099999999999998</v>
      </c>
      <c r="U23" s="13">
        <f t="shared" si="1"/>
        <v>11.249999999999998</v>
      </c>
      <c r="V23" s="13">
        <f t="shared" si="1"/>
        <v>19</v>
      </c>
      <c r="W23" s="13">
        <f t="shared" si="1"/>
        <v>18</v>
      </c>
      <c r="X23" s="13">
        <f t="shared" si="1"/>
        <v>23.4</v>
      </c>
      <c r="Y23" s="13">
        <f t="shared" si="1"/>
        <v>13.499999999999998</v>
      </c>
      <c r="Z23" s="13">
        <f t="shared" si="1"/>
        <v>12.600000000000001</v>
      </c>
      <c r="AA23" s="13">
        <f t="shared" si="1"/>
        <v>22.499999999999996</v>
      </c>
      <c r="AB23" s="13">
        <f t="shared" si="1"/>
        <v>20.7</v>
      </c>
      <c r="AC23" s="13">
        <f t="shared" si="1"/>
        <v>18.05</v>
      </c>
      <c r="AD23" s="13">
        <f t="shared" si="1"/>
        <v>17.249999999999996</v>
      </c>
      <c r="AE23" s="13">
        <f t="shared" si="1"/>
        <v>26.999999999999996</v>
      </c>
      <c r="AF23" s="13">
        <f t="shared" si="1"/>
        <v>22.499999999999996</v>
      </c>
      <c r="AG23" s="13">
        <f t="shared" si="1"/>
        <v>26.999999999999996</v>
      </c>
      <c r="AH23" s="13">
        <f t="shared" si="1"/>
        <v>14.000000000000002</v>
      </c>
      <c r="AI23" s="13">
        <f t="shared" si="1"/>
        <v>25.500000000000004</v>
      </c>
      <c r="AJ23" s="13">
        <f t="shared" si="1"/>
        <v>11.700000000000001</v>
      </c>
      <c r="AK23" s="13">
        <f t="shared" si="1"/>
        <v>20</v>
      </c>
      <c r="AL23" s="13">
        <f t="shared" si="1"/>
        <v>20</v>
      </c>
      <c r="AM23" s="13">
        <f t="shared" si="1"/>
        <v>24</v>
      </c>
      <c r="AN23" s="13">
        <f t="shared" si="1"/>
        <v>23.75</v>
      </c>
      <c r="AO23" s="13">
        <f t="shared" si="1"/>
        <v>20.7</v>
      </c>
      <c r="AP23" s="13">
        <f t="shared" si="1"/>
        <v>11.249999999999998</v>
      </c>
      <c r="AQ23" s="13">
        <f t="shared" si="1"/>
        <v>11.249999999999998</v>
      </c>
      <c r="AR23" s="13">
        <f t="shared" si="1"/>
        <v>21.599999999999998</v>
      </c>
      <c r="AS23" s="13">
        <f t="shared" si="1"/>
        <v>19.499999999999996</v>
      </c>
      <c r="AT23" s="13">
        <f t="shared" si="1"/>
        <v>17.25</v>
      </c>
      <c r="AU23" s="13">
        <f t="shared" si="1"/>
        <v>20.7</v>
      </c>
      <c r="AV23" s="13">
        <f t="shared" si="1"/>
        <v>21.849999999999998</v>
      </c>
      <c r="AW23" s="13">
        <f t="shared" si="1"/>
        <v>20.7</v>
      </c>
      <c r="AX23" s="13">
        <f t="shared" si="1"/>
        <v>20.7</v>
      </c>
      <c r="AY23" s="13">
        <f t="shared" si="1"/>
        <v>20.7</v>
      </c>
      <c r="AZ23" s="13">
        <f t="shared" si="1"/>
        <v>40.85</v>
      </c>
      <c r="BA23" s="13">
        <f t="shared" si="1"/>
        <v>26.999999999999996</v>
      </c>
      <c r="BB23" s="13">
        <f t="shared" si="1"/>
        <v>15.600000000000001</v>
      </c>
      <c r="BC23" s="13">
        <f t="shared" si="1"/>
        <v>17.5</v>
      </c>
      <c r="BD23" s="13">
        <f t="shared" si="1"/>
        <v>14.999999999999998</v>
      </c>
      <c r="BE23" s="13">
        <f t="shared" si="1"/>
        <v>13</v>
      </c>
      <c r="BF23" s="13">
        <f t="shared" si="1"/>
        <v>18.05</v>
      </c>
      <c r="BG23" s="13">
        <f t="shared" si="1"/>
        <v>14.249999999999998</v>
      </c>
      <c r="BH23" s="13">
        <f t="shared" si="1"/>
        <v>17</v>
      </c>
      <c r="BI23" s="13">
        <f t="shared" si="1"/>
        <v>16.799999999999997</v>
      </c>
      <c r="BJ23" s="6" t="s">
        <v>69</v>
      </c>
      <c r="BK23" s="18" t="s">
        <v>72</v>
      </c>
    </row>
    <row r="24" spans="1:63">
      <c r="A24" s="10" t="s">
        <v>6</v>
      </c>
      <c r="B24" s="14">
        <f>B17*B23</f>
        <v>1288439856000</v>
      </c>
      <c r="C24" s="14">
        <f t="shared" ref="C24:BI24" si="2">C17*C23</f>
        <v>1853123580000</v>
      </c>
      <c r="D24" s="14">
        <f t="shared" si="2"/>
        <v>478945629000</v>
      </c>
      <c r="E24" s="14">
        <f t="shared" si="2"/>
        <v>1957766435999.9998</v>
      </c>
      <c r="F24" s="14">
        <f t="shared" si="2"/>
        <v>574258167000</v>
      </c>
      <c r="G24" s="14">
        <f t="shared" si="2"/>
        <v>68246887499.999992</v>
      </c>
      <c r="H24" s="14">
        <f t="shared" si="2"/>
        <v>91922688000</v>
      </c>
      <c r="I24" s="14">
        <f t="shared" si="2"/>
        <v>459395820000</v>
      </c>
      <c r="J24" s="14">
        <f t="shared" si="2"/>
        <v>196380287999.99997</v>
      </c>
      <c r="K24" s="14">
        <f t="shared" si="2"/>
        <v>79891649999.999985</v>
      </c>
      <c r="L24" s="14">
        <f t="shared" si="2"/>
        <v>89928814500</v>
      </c>
      <c r="M24" s="14">
        <f t="shared" si="2"/>
        <v>107787000000</v>
      </c>
      <c r="N24" s="14">
        <f t="shared" si="2"/>
        <v>108810000000</v>
      </c>
      <c r="O24" s="14">
        <f t="shared" si="2"/>
        <v>446288399999.99994</v>
      </c>
      <c r="P24" s="14">
        <f t="shared" si="2"/>
        <v>188603999999.99997</v>
      </c>
      <c r="Q24" s="14">
        <f t="shared" si="2"/>
        <v>54405000000</v>
      </c>
      <c r="R24" s="14">
        <f t="shared" si="2"/>
        <v>21645750000</v>
      </c>
      <c r="S24" s="14">
        <f t="shared" si="2"/>
        <v>63611999999.999985</v>
      </c>
      <c r="T24" s="14">
        <f t="shared" si="2"/>
        <v>65202299999.999992</v>
      </c>
      <c r="U24" s="14">
        <f t="shared" si="2"/>
        <v>69052499999.999985</v>
      </c>
      <c r="V24" s="14">
        <f t="shared" si="2"/>
        <v>68913000000</v>
      </c>
      <c r="W24" s="14">
        <f t="shared" si="2"/>
        <v>236034000000</v>
      </c>
      <c r="X24" s="14">
        <f t="shared" si="2"/>
        <v>203767200000</v>
      </c>
      <c r="Y24" s="14">
        <f t="shared" si="2"/>
        <v>163227554999.99997</v>
      </c>
      <c r="Z24" s="14">
        <f t="shared" si="2"/>
        <v>239035482000.00003</v>
      </c>
      <c r="AA24" s="14">
        <f t="shared" si="2"/>
        <v>98113274999.999985</v>
      </c>
      <c r="AB24" s="14">
        <f t="shared" si="2"/>
        <v>254113200000</v>
      </c>
      <c r="AC24" s="14">
        <f t="shared" si="2"/>
        <v>52796250000</v>
      </c>
      <c r="AD24" s="14">
        <f t="shared" si="2"/>
        <v>-6054749999.999999</v>
      </c>
      <c r="AE24" s="14">
        <f t="shared" si="2"/>
        <v>208412999999.99997</v>
      </c>
      <c r="AF24" s="14">
        <f t="shared" si="2"/>
        <v>151852499999.99997</v>
      </c>
      <c r="AG24" s="14">
        <f t="shared" si="2"/>
        <v>181142999999.99997</v>
      </c>
      <c r="AH24" s="14">
        <f t="shared" si="2"/>
        <v>66122000000.000008</v>
      </c>
      <c r="AI24" s="14">
        <f t="shared" si="2"/>
        <v>358020000000.00006</v>
      </c>
      <c r="AJ24" s="14">
        <f t="shared" si="2"/>
        <v>333720270000</v>
      </c>
      <c r="AK24" s="14">
        <f t="shared" si="2"/>
        <v>96000000000</v>
      </c>
      <c r="AL24" s="14">
        <f t="shared" si="2"/>
        <v>134000000000</v>
      </c>
      <c r="AM24" s="14">
        <f t="shared" si="2"/>
        <v>220800000000</v>
      </c>
      <c r="AN24" s="14">
        <f t="shared" si="2"/>
        <v>292125000000</v>
      </c>
      <c r="AO24" s="14">
        <f t="shared" si="2"/>
        <v>140760000000</v>
      </c>
      <c r="AP24" s="14">
        <f t="shared" si="2"/>
        <v>145046249999.99997</v>
      </c>
      <c r="AQ24" s="14">
        <f t="shared" si="2"/>
        <v>217124999999.99997</v>
      </c>
      <c r="AR24" s="14">
        <f t="shared" si="2"/>
        <v>42983999999.999992</v>
      </c>
      <c r="AS24" s="14">
        <f t="shared" si="2"/>
        <v>40949999999.999992</v>
      </c>
      <c r="AT24" s="14">
        <f t="shared" si="2"/>
        <v>36225000000</v>
      </c>
      <c r="AU24" s="14">
        <f t="shared" si="2"/>
        <v>121095000000</v>
      </c>
      <c r="AV24" s="14">
        <f t="shared" si="2"/>
        <v>176395049999.99997</v>
      </c>
      <c r="AW24" s="14">
        <f t="shared" si="2"/>
        <v>53902800000</v>
      </c>
      <c r="AX24" s="14">
        <f t="shared" si="2"/>
        <v>107640000000</v>
      </c>
      <c r="AY24" s="14">
        <f t="shared" si="2"/>
        <v>184064400000</v>
      </c>
      <c r="AZ24" s="14">
        <f t="shared" si="2"/>
        <v>72181950000</v>
      </c>
      <c r="BA24" s="14">
        <f t="shared" si="2"/>
        <v>20087999999.999996</v>
      </c>
      <c r="BB24" s="14">
        <f t="shared" si="2"/>
        <v>42120000000.000008</v>
      </c>
      <c r="BC24" s="14">
        <f t="shared" si="2"/>
        <v>57750000000</v>
      </c>
      <c r="BD24" s="14">
        <f t="shared" si="2"/>
        <v>-21059999999.999996</v>
      </c>
      <c r="BE24" s="14">
        <f t="shared" si="2"/>
        <v>62400000000</v>
      </c>
      <c r="BF24" s="14">
        <f t="shared" si="2"/>
        <v>52796250000</v>
      </c>
      <c r="BG24" s="14">
        <f t="shared" si="2"/>
        <v>-21374999999.999996</v>
      </c>
      <c r="BH24" s="14">
        <f t="shared" si="2"/>
        <v>10200000000</v>
      </c>
      <c r="BI24" s="14">
        <f t="shared" si="2"/>
        <v>288287999999.99994</v>
      </c>
      <c r="BJ24" s="2" t="s">
        <v>70</v>
      </c>
    </row>
    <row r="25" spans="1:63">
      <c r="A25" s="10" t="e">
        <f ca="1">_xlfn.CONCAT(A24," (000 EUR)")</f>
        <v>#NAME?</v>
      </c>
      <c r="B25" s="14" t="str">
        <f>ROUND(B24/1000,0)&amp;"k EUR"</f>
        <v>1288439856k EUR</v>
      </c>
      <c r="C25" s="14" t="str">
        <f t="shared" ref="C25:BI25" si="3">ROUND(C24/1000,0)&amp;"k EUR"</f>
        <v>1853123580k EUR</v>
      </c>
      <c r="D25" s="14" t="str">
        <f t="shared" si="3"/>
        <v>478945629k EUR</v>
      </c>
      <c r="E25" s="14" t="str">
        <f t="shared" si="3"/>
        <v>1957766436k EUR</v>
      </c>
      <c r="F25" s="14" t="str">
        <f t="shared" si="3"/>
        <v>574258167k EUR</v>
      </c>
      <c r="G25" s="14" t="str">
        <f t="shared" si="3"/>
        <v>68246888k EUR</v>
      </c>
      <c r="H25" s="14" t="str">
        <f t="shared" si="3"/>
        <v>91922688k EUR</v>
      </c>
      <c r="I25" s="14" t="str">
        <f t="shared" si="3"/>
        <v>459395820k EUR</v>
      </c>
      <c r="J25" s="14" t="str">
        <f t="shared" si="3"/>
        <v>196380288k EUR</v>
      </c>
      <c r="K25" s="14" t="str">
        <f t="shared" si="3"/>
        <v>79891650k EUR</v>
      </c>
      <c r="L25" s="14" t="str">
        <f t="shared" si="3"/>
        <v>89928815k EUR</v>
      </c>
      <c r="M25" s="14" t="str">
        <f t="shared" si="3"/>
        <v>107787000k EUR</v>
      </c>
      <c r="N25" s="14" t="str">
        <f t="shared" si="3"/>
        <v>108810000k EUR</v>
      </c>
      <c r="O25" s="14" t="str">
        <f t="shared" si="3"/>
        <v>446288400k EUR</v>
      </c>
      <c r="P25" s="14" t="str">
        <f t="shared" si="3"/>
        <v>188604000k EUR</v>
      </c>
      <c r="Q25" s="14" t="str">
        <f t="shared" si="3"/>
        <v>54405000k EUR</v>
      </c>
      <c r="R25" s="14" t="str">
        <f t="shared" si="3"/>
        <v>21645750k EUR</v>
      </c>
      <c r="S25" s="14" t="str">
        <f t="shared" si="3"/>
        <v>63612000k EUR</v>
      </c>
      <c r="T25" s="14" t="str">
        <f t="shared" si="3"/>
        <v>65202300k EUR</v>
      </c>
      <c r="U25" s="14" t="str">
        <f t="shared" si="3"/>
        <v>69052500k EUR</v>
      </c>
      <c r="V25" s="14" t="str">
        <f t="shared" si="3"/>
        <v>68913000k EUR</v>
      </c>
      <c r="W25" s="14" t="str">
        <f t="shared" si="3"/>
        <v>236034000k EUR</v>
      </c>
      <c r="X25" s="14" t="str">
        <f t="shared" si="3"/>
        <v>203767200k EUR</v>
      </c>
      <c r="Y25" s="14" t="str">
        <f t="shared" si="3"/>
        <v>163227555k EUR</v>
      </c>
      <c r="Z25" s="14" t="str">
        <f t="shared" si="3"/>
        <v>239035482k EUR</v>
      </c>
      <c r="AA25" s="14" t="str">
        <f t="shared" si="3"/>
        <v>98113275k EUR</v>
      </c>
      <c r="AB25" s="14" t="str">
        <f t="shared" si="3"/>
        <v>254113200k EUR</v>
      </c>
      <c r="AC25" s="14" t="str">
        <f t="shared" si="3"/>
        <v>52796250k EUR</v>
      </c>
      <c r="AD25" s="14" t="str">
        <f t="shared" si="3"/>
        <v>-6054750k EUR</v>
      </c>
      <c r="AE25" s="14" t="str">
        <f t="shared" si="3"/>
        <v>208413000k EUR</v>
      </c>
      <c r="AF25" s="14" t="str">
        <f t="shared" si="3"/>
        <v>151852500k EUR</v>
      </c>
      <c r="AG25" s="14" t="str">
        <f t="shared" si="3"/>
        <v>181143000k EUR</v>
      </c>
      <c r="AH25" s="14" t="str">
        <f t="shared" si="3"/>
        <v>66122000k EUR</v>
      </c>
      <c r="AI25" s="14" t="str">
        <f t="shared" si="3"/>
        <v>358020000k EUR</v>
      </c>
      <c r="AJ25" s="14" t="str">
        <f t="shared" si="3"/>
        <v>333720270k EUR</v>
      </c>
      <c r="AK25" s="14" t="str">
        <f t="shared" si="3"/>
        <v>96000000k EUR</v>
      </c>
      <c r="AL25" s="14" t="str">
        <f t="shared" si="3"/>
        <v>134000000k EUR</v>
      </c>
      <c r="AM25" s="14" t="str">
        <f t="shared" si="3"/>
        <v>220800000k EUR</v>
      </c>
      <c r="AN25" s="14" t="str">
        <f t="shared" si="3"/>
        <v>292125000k EUR</v>
      </c>
      <c r="AO25" s="14" t="str">
        <f t="shared" si="3"/>
        <v>140760000k EUR</v>
      </c>
      <c r="AP25" s="14" t="str">
        <f t="shared" si="3"/>
        <v>145046250k EUR</v>
      </c>
      <c r="AQ25" s="14" t="str">
        <f t="shared" si="3"/>
        <v>217125000k EUR</v>
      </c>
      <c r="AR25" s="14" t="str">
        <f t="shared" si="3"/>
        <v>42984000k EUR</v>
      </c>
      <c r="AS25" s="14" t="str">
        <f t="shared" si="3"/>
        <v>40950000k EUR</v>
      </c>
      <c r="AT25" s="14" t="str">
        <f t="shared" si="3"/>
        <v>36225000k EUR</v>
      </c>
      <c r="AU25" s="14" t="str">
        <f t="shared" si="3"/>
        <v>121095000k EUR</v>
      </c>
      <c r="AV25" s="14" t="str">
        <f t="shared" si="3"/>
        <v>176395050k EUR</v>
      </c>
      <c r="AW25" s="14" t="str">
        <f t="shared" si="3"/>
        <v>53902800k EUR</v>
      </c>
      <c r="AX25" s="14" t="str">
        <f t="shared" si="3"/>
        <v>107640000k EUR</v>
      </c>
      <c r="AY25" s="14" t="str">
        <f t="shared" si="3"/>
        <v>184064400k EUR</v>
      </c>
      <c r="AZ25" s="14" t="str">
        <f t="shared" si="3"/>
        <v>72181950k EUR</v>
      </c>
      <c r="BA25" s="14" t="str">
        <f t="shared" si="3"/>
        <v>20088000k EUR</v>
      </c>
      <c r="BB25" s="14" t="str">
        <f t="shared" si="3"/>
        <v>42120000k EUR</v>
      </c>
      <c r="BC25" s="14" t="str">
        <f t="shared" si="3"/>
        <v>57750000k EUR</v>
      </c>
      <c r="BD25" s="14" t="str">
        <f t="shared" si="3"/>
        <v>-21060000k EUR</v>
      </c>
      <c r="BE25" s="14" t="str">
        <f t="shared" si="3"/>
        <v>62400000k EUR</v>
      </c>
      <c r="BF25" s="14" t="str">
        <f t="shared" si="3"/>
        <v>52796250k EUR</v>
      </c>
      <c r="BG25" s="14" t="str">
        <f t="shared" si="3"/>
        <v>-21375000k EUR</v>
      </c>
      <c r="BH25" s="14" t="str">
        <f t="shared" si="3"/>
        <v>10200000k EUR</v>
      </c>
      <c r="BI25" s="14" t="str">
        <f t="shared" si="3"/>
        <v>288288000k EUR</v>
      </c>
    </row>
    <row r="26" spans="1:63">
      <c r="A26" s="10" t="s">
        <v>5</v>
      </c>
      <c r="B26" s="15">
        <v>0.85</v>
      </c>
      <c r="C26" s="15">
        <v>0.85</v>
      </c>
      <c r="D26" s="15">
        <v>0.85</v>
      </c>
      <c r="E26" s="15">
        <v>0.85</v>
      </c>
      <c r="F26" s="15">
        <v>0.85</v>
      </c>
      <c r="G26" s="15">
        <v>0.85</v>
      </c>
      <c r="H26" s="15">
        <v>0.85</v>
      </c>
      <c r="I26" s="15">
        <v>0.85</v>
      </c>
      <c r="J26" s="15">
        <v>0.85</v>
      </c>
      <c r="K26" s="15">
        <v>0.85</v>
      </c>
      <c r="L26" s="15">
        <v>0.85</v>
      </c>
      <c r="M26" s="15">
        <v>0.85</v>
      </c>
      <c r="N26" s="15">
        <v>0.85</v>
      </c>
      <c r="O26" s="15">
        <v>0.85</v>
      </c>
      <c r="P26" s="15">
        <v>0.85</v>
      </c>
      <c r="Q26" s="15">
        <v>0.85</v>
      </c>
      <c r="R26" s="15">
        <v>0.85</v>
      </c>
      <c r="S26" s="15">
        <v>0.85</v>
      </c>
      <c r="T26" s="15">
        <v>0.85</v>
      </c>
      <c r="U26" s="15">
        <v>0.85</v>
      </c>
      <c r="V26" s="15">
        <v>0.85</v>
      </c>
      <c r="W26" s="15">
        <v>0.85</v>
      </c>
      <c r="X26" s="15">
        <v>0.85</v>
      </c>
      <c r="Y26" s="15">
        <v>0.85</v>
      </c>
      <c r="Z26" s="15">
        <v>0.85</v>
      </c>
      <c r="AA26" s="15">
        <v>0.85</v>
      </c>
      <c r="AB26" s="15">
        <v>0.85</v>
      </c>
      <c r="AC26" s="15">
        <v>0.85</v>
      </c>
      <c r="AD26" s="15">
        <v>0.85</v>
      </c>
      <c r="AE26" s="15">
        <v>0.85</v>
      </c>
      <c r="AF26" s="15">
        <v>0.85</v>
      </c>
      <c r="AG26" s="15">
        <v>0.85</v>
      </c>
      <c r="AH26" s="15">
        <v>0.85</v>
      </c>
      <c r="AI26" s="15">
        <v>0.85</v>
      </c>
      <c r="AJ26" s="15">
        <v>0.85</v>
      </c>
      <c r="AK26" s="15">
        <v>0.85</v>
      </c>
      <c r="AL26" s="15">
        <v>0.85</v>
      </c>
      <c r="AM26" s="15">
        <v>0.85</v>
      </c>
      <c r="AN26" s="15">
        <v>0.85</v>
      </c>
      <c r="AO26" s="15">
        <v>0.85</v>
      </c>
      <c r="AP26" s="15">
        <v>0.85</v>
      </c>
      <c r="AQ26" s="15">
        <v>0.85</v>
      </c>
      <c r="AR26" s="15">
        <v>0.85</v>
      </c>
      <c r="AS26" s="15">
        <v>0.85</v>
      </c>
      <c r="AT26" s="15">
        <v>0.85</v>
      </c>
      <c r="AU26" s="15">
        <v>0.85</v>
      </c>
      <c r="AV26" s="15">
        <v>0.85</v>
      </c>
      <c r="AW26" s="15">
        <v>0.85</v>
      </c>
      <c r="AX26" s="15">
        <v>0.85</v>
      </c>
      <c r="AY26" s="15">
        <v>0.85</v>
      </c>
      <c r="AZ26" s="15">
        <v>0.85</v>
      </c>
      <c r="BA26" s="15">
        <v>0.85</v>
      </c>
      <c r="BB26" s="15">
        <v>0.85</v>
      </c>
      <c r="BC26" s="15">
        <v>0.85</v>
      </c>
      <c r="BD26" s="15">
        <v>0.85</v>
      </c>
      <c r="BE26" s="15">
        <v>0.85</v>
      </c>
      <c r="BF26" s="15">
        <v>0.85</v>
      </c>
      <c r="BG26" s="15">
        <v>0.85</v>
      </c>
      <c r="BH26" s="15">
        <v>0.85</v>
      </c>
      <c r="BI26" s="15">
        <v>0.85</v>
      </c>
      <c r="BJ26" s="2" t="s">
        <v>32</v>
      </c>
    </row>
    <row r="27" spans="1:63">
      <c r="A27" s="10" t="s">
        <v>4</v>
      </c>
      <c r="B27" s="14">
        <f>B$24*B26</f>
        <v>1095173877600</v>
      </c>
      <c r="C27" s="14">
        <f t="shared" ref="C27:BI27" si="4">C$24*C26</f>
        <v>1575155043000</v>
      </c>
      <c r="D27" s="14">
        <f t="shared" si="4"/>
        <v>407103784650</v>
      </c>
      <c r="E27" s="14">
        <f t="shared" si="4"/>
        <v>1664101470599.9998</v>
      </c>
      <c r="F27" s="14">
        <f t="shared" si="4"/>
        <v>488119441950</v>
      </c>
      <c r="G27" s="14">
        <f t="shared" si="4"/>
        <v>58009854374.999992</v>
      </c>
      <c r="H27" s="14">
        <f t="shared" si="4"/>
        <v>78134284800</v>
      </c>
      <c r="I27" s="14">
        <f t="shared" si="4"/>
        <v>390486447000</v>
      </c>
      <c r="J27" s="14">
        <f t="shared" si="4"/>
        <v>166923244799.99997</v>
      </c>
      <c r="K27" s="14">
        <f t="shared" si="4"/>
        <v>67907902499.999985</v>
      </c>
      <c r="L27" s="14">
        <f t="shared" si="4"/>
        <v>76439492325</v>
      </c>
      <c r="M27" s="14">
        <f t="shared" si="4"/>
        <v>91618950000</v>
      </c>
      <c r="N27" s="14">
        <f t="shared" si="4"/>
        <v>92488500000</v>
      </c>
      <c r="O27" s="14">
        <f t="shared" si="4"/>
        <v>379345139999.99994</v>
      </c>
      <c r="P27" s="14">
        <f t="shared" si="4"/>
        <v>160313399999.99997</v>
      </c>
      <c r="Q27" s="14">
        <f t="shared" si="4"/>
        <v>46244250000</v>
      </c>
      <c r="R27" s="14">
        <f t="shared" si="4"/>
        <v>18398887500</v>
      </c>
      <c r="S27" s="14">
        <f t="shared" si="4"/>
        <v>54070199999.999985</v>
      </c>
      <c r="T27" s="14">
        <f t="shared" si="4"/>
        <v>55421954999.999992</v>
      </c>
      <c r="U27" s="14">
        <f t="shared" si="4"/>
        <v>58694624999.999985</v>
      </c>
      <c r="V27" s="14">
        <f t="shared" si="4"/>
        <v>58576050000</v>
      </c>
      <c r="W27" s="14">
        <f t="shared" si="4"/>
        <v>200628900000</v>
      </c>
      <c r="X27" s="14">
        <f t="shared" si="4"/>
        <v>173202120000</v>
      </c>
      <c r="Y27" s="14">
        <f t="shared" si="4"/>
        <v>138743421749.99997</v>
      </c>
      <c r="Z27" s="14">
        <f t="shared" si="4"/>
        <v>203180159700.00003</v>
      </c>
      <c r="AA27" s="14">
        <f t="shared" si="4"/>
        <v>83396283749.999985</v>
      </c>
      <c r="AB27" s="14">
        <f t="shared" si="4"/>
        <v>215996220000</v>
      </c>
      <c r="AC27" s="14">
        <f t="shared" si="4"/>
        <v>44876812500</v>
      </c>
      <c r="AD27" s="14">
        <f t="shared" si="4"/>
        <v>-5146537499.999999</v>
      </c>
      <c r="AE27" s="14">
        <f t="shared" si="4"/>
        <v>177151049999.99997</v>
      </c>
      <c r="AF27" s="14">
        <f t="shared" si="4"/>
        <v>129074624999.99997</v>
      </c>
      <c r="AG27" s="14">
        <f t="shared" si="4"/>
        <v>153971549999.99997</v>
      </c>
      <c r="AH27" s="14">
        <f t="shared" si="4"/>
        <v>56203700000.000008</v>
      </c>
      <c r="AI27" s="14">
        <f t="shared" si="4"/>
        <v>304317000000.00006</v>
      </c>
      <c r="AJ27" s="14">
        <f t="shared" si="4"/>
        <v>283662229500</v>
      </c>
      <c r="AK27" s="14">
        <f t="shared" si="4"/>
        <v>81600000000</v>
      </c>
      <c r="AL27" s="14">
        <f t="shared" si="4"/>
        <v>113900000000</v>
      </c>
      <c r="AM27" s="14">
        <f t="shared" si="4"/>
        <v>187680000000</v>
      </c>
      <c r="AN27" s="14">
        <f t="shared" si="4"/>
        <v>248306250000</v>
      </c>
      <c r="AO27" s="14">
        <f t="shared" si="4"/>
        <v>119646000000</v>
      </c>
      <c r="AP27" s="14">
        <f t="shared" si="4"/>
        <v>123289312499.99997</v>
      </c>
      <c r="AQ27" s="14">
        <f t="shared" si="4"/>
        <v>184556249999.99997</v>
      </c>
      <c r="AR27" s="14">
        <f t="shared" si="4"/>
        <v>36536399999.999992</v>
      </c>
      <c r="AS27" s="14">
        <f t="shared" si="4"/>
        <v>34807499999.999992</v>
      </c>
      <c r="AT27" s="14">
        <f t="shared" si="4"/>
        <v>30791250000</v>
      </c>
      <c r="AU27" s="14">
        <f t="shared" si="4"/>
        <v>102930750000</v>
      </c>
      <c r="AV27" s="14">
        <f t="shared" si="4"/>
        <v>149935792499.99997</v>
      </c>
      <c r="AW27" s="14">
        <f t="shared" si="4"/>
        <v>45817380000</v>
      </c>
      <c r="AX27" s="14">
        <f t="shared" si="4"/>
        <v>91494000000</v>
      </c>
      <c r="AY27" s="14">
        <f t="shared" si="4"/>
        <v>156454740000</v>
      </c>
      <c r="AZ27" s="14">
        <f t="shared" si="4"/>
        <v>61354657500</v>
      </c>
      <c r="BA27" s="14">
        <f t="shared" si="4"/>
        <v>17074799999.999996</v>
      </c>
      <c r="BB27" s="14">
        <f t="shared" si="4"/>
        <v>35802000000.000008</v>
      </c>
      <c r="BC27" s="14">
        <f t="shared" si="4"/>
        <v>49087500000</v>
      </c>
      <c r="BD27" s="14">
        <f t="shared" si="4"/>
        <v>-17900999999.999996</v>
      </c>
      <c r="BE27" s="14">
        <f t="shared" si="4"/>
        <v>53040000000</v>
      </c>
      <c r="BF27" s="14">
        <f t="shared" si="4"/>
        <v>44876812500</v>
      </c>
      <c r="BG27" s="14">
        <f t="shared" si="4"/>
        <v>-18168749999.999996</v>
      </c>
      <c r="BH27" s="14">
        <f t="shared" si="4"/>
        <v>8670000000</v>
      </c>
      <c r="BI27" s="14">
        <f t="shared" si="4"/>
        <v>245044799999.99994</v>
      </c>
      <c r="BJ27" s="2" t="s">
        <v>34</v>
      </c>
    </row>
    <row r="28" spans="1:63">
      <c r="A28" s="10" t="e">
        <f ca="1">_xlfn.CONCAT(A27," (000 EUR)")</f>
        <v>#NAME?</v>
      </c>
      <c r="B28" s="14" t="str">
        <f>ROUND(B27/1000,0)&amp;"k EUR"</f>
        <v>1095173878k EUR</v>
      </c>
      <c r="C28" s="14" t="str">
        <f t="shared" ref="C28:BI28" si="5">ROUND(C27/1000,0)&amp;"k EUR"</f>
        <v>1575155043k EUR</v>
      </c>
      <c r="D28" s="14" t="str">
        <f t="shared" si="5"/>
        <v>407103785k EUR</v>
      </c>
      <c r="E28" s="14" t="str">
        <f t="shared" si="5"/>
        <v>1664101471k EUR</v>
      </c>
      <c r="F28" s="14" t="str">
        <f t="shared" si="5"/>
        <v>488119442k EUR</v>
      </c>
      <c r="G28" s="14" t="str">
        <f t="shared" si="5"/>
        <v>58009854k EUR</v>
      </c>
      <c r="H28" s="14" t="str">
        <f t="shared" si="5"/>
        <v>78134285k EUR</v>
      </c>
      <c r="I28" s="14" t="str">
        <f t="shared" si="5"/>
        <v>390486447k EUR</v>
      </c>
      <c r="J28" s="14" t="str">
        <f t="shared" si="5"/>
        <v>166923245k EUR</v>
      </c>
      <c r="K28" s="14" t="str">
        <f t="shared" si="5"/>
        <v>67907903k EUR</v>
      </c>
      <c r="L28" s="14" t="str">
        <f t="shared" si="5"/>
        <v>76439492k EUR</v>
      </c>
      <c r="M28" s="14" t="str">
        <f t="shared" si="5"/>
        <v>91618950k EUR</v>
      </c>
      <c r="N28" s="14" t="str">
        <f t="shared" si="5"/>
        <v>92488500k EUR</v>
      </c>
      <c r="O28" s="14" t="str">
        <f t="shared" si="5"/>
        <v>379345140k EUR</v>
      </c>
      <c r="P28" s="14" t="str">
        <f t="shared" si="5"/>
        <v>160313400k EUR</v>
      </c>
      <c r="Q28" s="14" t="str">
        <f t="shared" si="5"/>
        <v>46244250k EUR</v>
      </c>
      <c r="R28" s="14" t="str">
        <f t="shared" si="5"/>
        <v>18398888k EUR</v>
      </c>
      <c r="S28" s="14" t="str">
        <f t="shared" si="5"/>
        <v>54070200k EUR</v>
      </c>
      <c r="T28" s="14" t="str">
        <f t="shared" si="5"/>
        <v>55421955k EUR</v>
      </c>
      <c r="U28" s="14" t="str">
        <f t="shared" si="5"/>
        <v>58694625k EUR</v>
      </c>
      <c r="V28" s="14" t="str">
        <f t="shared" si="5"/>
        <v>58576050k EUR</v>
      </c>
      <c r="W28" s="14" t="str">
        <f t="shared" si="5"/>
        <v>200628900k EUR</v>
      </c>
      <c r="X28" s="14" t="str">
        <f t="shared" si="5"/>
        <v>173202120k EUR</v>
      </c>
      <c r="Y28" s="14" t="str">
        <f t="shared" si="5"/>
        <v>138743422k EUR</v>
      </c>
      <c r="Z28" s="14" t="str">
        <f t="shared" si="5"/>
        <v>203180160k EUR</v>
      </c>
      <c r="AA28" s="14" t="str">
        <f t="shared" si="5"/>
        <v>83396284k EUR</v>
      </c>
      <c r="AB28" s="14" t="str">
        <f t="shared" si="5"/>
        <v>215996220k EUR</v>
      </c>
      <c r="AC28" s="14" t="str">
        <f t="shared" si="5"/>
        <v>44876813k EUR</v>
      </c>
      <c r="AD28" s="14" t="str">
        <f t="shared" si="5"/>
        <v>-5146538k EUR</v>
      </c>
      <c r="AE28" s="14" t="str">
        <f t="shared" si="5"/>
        <v>177151050k EUR</v>
      </c>
      <c r="AF28" s="14" t="str">
        <f t="shared" si="5"/>
        <v>129074625k EUR</v>
      </c>
      <c r="AG28" s="14" t="str">
        <f t="shared" si="5"/>
        <v>153971550k EUR</v>
      </c>
      <c r="AH28" s="14" t="str">
        <f t="shared" si="5"/>
        <v>56203700k EUR</v>
      </c>
      <c r="AI28" s="14" t="str">
        <f t="shared" si="5"/>
        <v>304317000k EUR</v>
      </c>
      <c r="AJ28" s="14" t="str">
        <f t="shared" si="5"/>
        <v>283662230k EUR</v>
      </c>
      <c r="AK28" s="14" t="str">
        <f t="shared" si="5"/>
        <v>81600000k EUR</v>
      </c>
      <c r="AL28" s="14" t="str">
        <f t="shared" si="5"/>
        <v>113900000k EUR</v>
      </c>
      <c r="AM28" s="14" t="str">
        <f t="shared" si="5"/>
        <v>187680000k EUR</v>
      </c>
      <c r="AN28" s="14" t="str">
        <f t="shared" si="5"/>
        <v>248306250k EUR</v>
      </c>
      <c r="AO28" s="14" t="str">
        <f t="shared" si="5"/>
        <v>119646000k EUR</v>
      </c>
      <c r="AP28" s="14" t="str">
        <f t="shared" si="5"/>
        <v>123289313k EUR</v>
      </c>
      <c r="AQ28" s="14" t="str">
        <f t="shared" si="5"/>
        <v>184556250k EUR</v>
      </c>
      <c r="AR28" s="14" t="str">
        <f t="shared" si="5"/>
        <v>36536400k EUR</v>
      </c>
      <c r="AS28" s="14" t="str">
        <f t="shared" si="5"/>
        <v>34807500k EUR</v>
      </c>
      <c r="AT28" s="14" t="str">
        <f t="shared" si="5"/>
        <v>30791250k EUR</v>
      </c>
      <c r="AU28" s="14" t="str">
        <f t="shared" si="5"/>
        <v>102930750k EUR</v>
      </c>
      <c r="AV28" s="14" t="str">
        <f t="shared" si="5"/>
        <v>149935793k EUR</v>
      </c>
      <c r="AW28" s="14" t="str">
        <f t="shared" si="5"/>
        <v>45817380k EUR</v>
      </c>
      <c r="AX28" s="14" t="str">
        <f t="shared" si="5"/>
        <v>91494000k EUR</v>
      </c>
      <c r="AY28" s="14" t="str">
        <f t="shared" si="5"/>
        <v>156454740k EUR</v>
      </c>
      <c r="AZ28" s="14" t="str">
        <f t="shared" si="5"/>
        <v>61354658k EUR</v>
      </c>
      <c r="BA28" s="14" t="str">
        <f t="shared" si="5"/>
        <v>17074800k EUR</v>
      </c>
      <c r="BB28" s="14" t="str">
        <f t="shared" si="5"/>
        <v>35802000k EUR</v>
      </c>
      <c r="BC28" s="14" t="str">
        <f t="shared" si="5"/>
        <v>49087500k EUR</v>
      </c>
      <c r="BD28" s="14" t="str">
        <f t="shared" si="5"/>
        <v>-17901000k EUR</v>
      </c>
      <c r="BE28" s="14" t="str">
        <f t="shared" si="5"/>
        <v>53040000k EUR</v>
      </c>
      <c r="BF28" s="14" t="str">
        <f t="shared" si="5"/>
        <v>44876813k EUR</v>
      </c>
      <c r="BG28" s="14" t="str">
        <f t="shared" si="5"/>
        <v>-18168750k EUR</v>
      </c>
      <c r="BH28" s="14" t="str">
        <f t="shared" si="5"/>
        <v>8670000k EUR</v>
      </c>
      <c r="BI28" s="14" t="str">
        <f t="shared" si="5"/>
        <v>245044800k EUR</v>
      </c>
    </row>
    <row r="29" spans="1:63">
      <c r="A29" s="10" t="s">
        <v>3</v>
      </c>
      <c r="B29" s="15">
        <v>1.1499999999999999</v>
      </c>
      <c r="C29" s="15">
        <v>1.1499999999999999</v>
      </c>
      <c r="D29" s="15">
        <v>1.1499999999999999</v>
      </c>
      <c r="E29" s="15">
        <v>1.1499999999999999</v>
      </c>
      <c r="F29" s="15">
        <v>1.1499999999999999</v>
      </c>
      <c r="G29" s="15">
        <v>1.1499999999999999</v>
      </c>
      <c r="H29" s="15">
        <v>1.1499999999999999</v>
      </c>
      <c r="I29" s="15">
        <v>1.1499999999999999</v>
      </c>
      <c r="J29" s="15">
        <v>1.1499999999999999</v>
      </c>
      <c r="K29" s="15">
        <v>1.1499999999999999</v>
      </c>
      <c r="L29" s="15">
        <v>1.1499999999999999</v>
      </c>
      <c r="M29" s="15">
        <v>1.1499999999999999</v>
      </c>
      <c r="N29" s="15">
        <v>1.1499999999999999</v>
      </c>
      <c r="O29" s="15">
        <v>1.1499999999999999</v>
      </c>
      <c r="P29" s="15">
        <v>1.1499999999999999</v>
      </c>
      <c r="Q29" s="15">
        <v>1.1499999999999999</v>
      </c>
      <c r="R29" s="15">
        <v>1.1499999999999999</v>
      </c>
      <c r="S29" s="15">
        <v>1.1499999999999999</v>
      </c>
      <c r="T29" s="15">
        <v>1.1499999999999999</v>
      </c>
      <c r="U29" s="15">
        <v>1.1499999999999999</v>
      </c>
      <c r="V29" s="15">
        <v>1.1499999999999999</v>
      </c>
      <c r="W29" s="15">
        <v>1.1499999999999999</v>
      </c>
      <c r="X29" s="15">
        <v>1.1499999999999999</v>
      </c>
      <c r="Y29" s="15">
        <v>1.1499999999999999</v>
      </c>
      <c r="Z29" s="15">
        <v>1.1499999999999999</v>
      </c>
      <c r="AA29" s="15">
        <v>1.1499999999999999</v>
      </c>
      <c r="AB29" s="15">
        <v>1.1499999999999999</v>
      </c>
      <c r="AC29" s="15">
        <v>1.1499999999999999</v>
      </c>
      <c r="AD29" s="15">
        <v>1.1499999999999999</v>
      </c>
      <c r="AE29" s="15">
        <v>1.1499999999999999</v>
      </c>
      <c r="AF29" s="15">
        <v>1.1499999999999999</v>
      </c>
      <c r="AG29" s="15">
        <v>1.1499999999999999</v>
      </c>
      <c r="AH29" s="15">
        <v>1.1499999999999999</v>
      </c>
      <c r="AI29" s="15">
        <v>1.1499999999999999</v>
      </c>
      <c r="AJ29" s="15">
        <v>1.1499999999999999</v>
      </c>
      <c r="AK29" s="15">
        <v>1.1499999999999999</v>
      </c>
      <c r="AL29" s="15">
        <v>1.1499999999999999</v>
      </c>
      <c r="AM29" s="15">
        <v>1.1499999999999999</v>
      </c>
      <c r="AN29" s="15">
        <v>1.1499999999999999</v>
      </c>
      <c r="AO29" s="15">
        <v>1.1499999999999999</v>
      </c>
      <c r="AP29" s="15">
        <v>1.1499999999999999</v>
      </c>
      <c r="AQ29" s="15">
        <v>1.1499999999999999</v>
      </c>
      <c r="AR29" s="15">
        <v>1.1499999999999999</v>
      </c>
      <c r="AS29" s="15">
        <v>1.1499999999999999</v>
      </c>
      <c r="AT29" s="15">
        <v>1.1499999999999999</v>
      </c>
      <c r="AU29" s="15">
        <v>1.1499999999999999</v>
      </c>
      <c r="AV29" s="15">
        <v>1.1499999999999999</v>
      </c>
      <c r="AW29" s="15">
        <v>1.1499999999999999</v>
      </c>
      <c r="AX29" s="15">
        <v>1.1499999999999999</v>
      </c>
      <c r="AY29" s="15">
        <v>1.1499999999999999</v>
      </c>
      <c r="AZ29" s="15">
        <v>1.1499999999999999</v>
      </c>
      <c r="BA29" s="15">
        <v>1.1499999999999999</v>
      </c>
      <c r="BB29" s="15">
        <v>1.1499999999999999</v>
      </c>
      <c r="BC29" s="15">
        <v>1.1499999999999999</v>
      </c>
      <c r="BD29" s="15">
        <v>1.1499999999999999</v>
      </c>
      <c r="BE29" s="15">
        <v>1.1499999999999999</v>
      </c>
      <c r="BF29" s="15">
        <v>1.1499999999999999</v>
      </c>
      <c r="BG29" s="15">
        <v>1.1499999999999999</v>
      </c>
      <c r="BH29" s="15">
        <v>1.1499999999999999</v>
      </c>
      <c r="BI29" s="15">
        <v>1.1499999999999999</v>
      </c>
      <c r="BJ29" s="2" t="s">
        <v>33</v>
      </c>
    </row>
    <row r="30" spans="1:63">
      <c r="A30" s="10" t="s">
        <v>2</v>
      </c>
      <c r="B30" s="14">
        <f>B$24*B29</f>
        <v>1481705834400</v>
      </c>
      <c r="C30" s="14">
        <f t="shared" ref="C30:BI30" si="6">C$24*C29</f>
        <v>2131092116999.9998</v>
      </c>
      <c r="D30" s="14">
        <f t="shared" si="6"/>
        <v>550787473350</v>
      </c>
      <c r="E30" s="14">
        <f t="shared" si="6"/>
        <v>2251431401399.9995</v>
      </c>
      <c r="F30" s="14">
        <f t="shared" si="6"/>
        <v>660396892050</v>
      </c>
      <c r="G30" s="14">
        <f t="shared" si="6"/>
        <v>78483920624.999985</v>
      </c>
      <c r="H30" s="14">
        <f t="shared" si="6"/>
        <v>105711091199.99998</v>
      </c>
      <c r="I30" s="14">
        <f t="shared" si="6"/>
        <v>528305192999.99994</v>
      </c>
      <c r="J30" s="14">
        <f t="shared" si="6"/>
        <v>225837331199.99994</v>
      </c>
      <c r="K30" s="14">
        <f t="shared" si="6"/>
        <v>91875397499.999969</v>
      </c>
      <c r="L30" s="14">
        <f t="shared" si="6"/>
        <v>103418136674.99998</v>
      </c>
      <c r="M30" s="14">
        <f t="shared" si="6"/>
        <v>123955049999.99998</v>
      </c>
      <c r="N30" s="14">
        <f t="shared" si="6"/>
        <v>125131499999.99998</v>
      </c>
      <c r="O30" s="14">
        <f t="shared" si="6"/>
        <v>513231659999.99988</v>
      </c>
      <c r="P30" s="14">
        <f t="shared" si="6"/>
        <v>216894599999.99994</v>
      </c>
      <c r="Q30" s="14">
        <f t="shared" si="6"/>
        <v>62565749999.999992</v>
      </c>
      <c r="R30" s="14">
        <f t="shared" si="6"/>
        <v>24892612499.999996</v>
      </c>
      <c r="S30" s="14">
        <f t="shared" si="6"/>
        <v>73153799999.999969</v>
      </c>
      <c r="T30" s="14">
        <f t="shared" si="6"/>
        <v>74982644999.999985</v>
      </c>
      <c r="U30" s="14">
        <f t="shared" si="6"/>
        <v>79410374999.999969</v>
      </c>
      <c r="V30" s="14">
        <f t="shared" si="6"/>
        <v>79249950000</v>
      </c>
      <c r="W30" s="14">
        <f t="shared" si="6"/>
        <v>271439099999.99997</v>
      </c>
      <c r="X30" s="14">
        <f t="shared" si="6"/>
        <v>234332279999.99997</v>
      </c>
      <c r="Y30" s="14">
        <f t="shared" si="6"/>
        <v>187711688249.99994</v>
      </c>
      <c r="Z30" s="14">
        <f t="shared" si="6"/>
        <v>274890804300</v>
      </c>
      <c r="AA30" s="14">
        <f t="shared" si="6"/>
        <v>112830266249.99997</v>
      </c>
      <c r="AB30" s="14">
        <f t="shared" si="6"/>
        <v>292230180000</v>
      </c>
      <c r="AC30" s="14">
        <f t="shared" si="6"/>
        <v>60715687499.999992</v>
      </c>
      <c r="AD30" s="14">
        <f t="shared" si="6"/>
        <v>-6962962499.9999981</v>
      </c>
      <c r="AE30" s="14">
        <f t="shared" si="6"/>
        <v>239674949999.99994</v>
      </c>
      <c r="AF30" s="14">
        <f t="shared" si="6"/>
        <v>174630374999.99994</v>
      </c>
      <c r="AG30" s="14">
        <f t="shared" si="6"/>
        <v>208314449999.99994</v>
      </c>
      <c r="AH30" s="14">
        <f t="shared" si="6"/>
        <v>76040300000</v>
      </c>
      <c r="AI30" s="14">
        <f t="shared" si="6"/>
        <v>411723000000.00006</v>
      </c>
      <c r="AJ30" s="14">
        <f t="shared" si="6"/>
        <v>383778310500</v>
      </c>
      <c r="AK30" s="14">
        <f t="shared" si="6"/>
        <v>110399999999.99998</v>
      </c>
      <c r="AL30" s="14">
        <f t="shared" si="6"/>
        <v>154100000000</v>
      </c>
      <c r="AM30" s="14">
        <f t="shared" si="6"/>
        <v>253919999999.99997</v>
      </c>
      <c r="AN30" s="14">
        <f t="shared" si="6"/>
        <v>335943750000</v>
      </c>
      <c r="AO30" s="14">
        <f t="shared" si="6"/>
        <v>161874000000</v>
      </c>
      <c r="AP30" s="14">
        <f t="shared" si="6"/>
        <v>166803187499.99994</v>
      </c>
      <c r="AQ30" s="14">
        <f t="shared" si="6"/>
        <v>249693749999.99994</v>
      </c>
      <c r="AR30" s="14">
        <f t="shared" si="6"/>
        <v>49431599999.999985</v>
      </c>
      <c r="AS30" s="14">
        <f t="shared" si="6"/>
        <v>47092499999.999985</v>
      </c>
      <c r="AT30" s="14">
        <f t="shared" si="6"/>
        <v>41658750000</v>
      </c>
      <c r="AU30" s="14">
        <f t="shared" si="6"/>
        <v>139259250000</v>
      </c>
      <c r="AV30" s="14">
        <f t="shared" si="6"/>
        <v>202854307499.99994</v>
      </c>
      <c r="AW30" s="14">
        <f t="shared" si="6"/>
        <v>61988219999.999992</v>
      </c>
      <c r="AX30" s="14">
        <f t="shared" si="6"/>
        <v>123785999999.99998</v>
      </c>
      <c r="AY30" s="14">
        <f t="shared" si="6"/>
        <v>211674059999.99997</v>
      </c>
      <c r="AZ30" s="14">
        <f t="shared" si="6"/>
        <v>83009242500</v>
      </c>
      <c r="BA30" s="14">
        <f t="shared" si="6"/>
        <v>23101199999.999992</v>
      </c>
      <c r="BB30" s="14">
        <f t="shared" si="6"/>
        <v>48438000000.000008</v>
      </c>
      <c r="BC30" s="14">
        <f t="shared" si="6"/>
        <v>66412499999.999992</v>
      </c>
      <c r="BD30" s="14">
        <f t="shared" si="6"/>
        <v>-24218999999.999992</v>
      </c>
      <c r="BE30" s="14">
        <f t="shared" si="6"/>
        <v>71760000000</v>
      </c>
      <c r="BF30" s="14">
        <f t="shared" si="6"/>
        <v>60715687499.999992</v>
      </c>
      <c r="BG30" s="14">
        <f t="shared" si="6"/>
        <v>-24581249999.999992</v>
      </c>
      <c r="BH30" s="14">
        <f t="shared" si="6"/>
        <v>11730000000</v>
      </c>
      <c r="BI30" s="14">
        <f t="shared" si="6"/>
        <v>331531199999.99988</v>
      </c>
      <c r="BJ30" s="2" t="s">
        <v>35</v>
      </c>
    </row>
    <row r="31" spans="1:63">
      <c r="A31" s="10" t="e">
        <f ca="1">_xlfn.CONCAT(A30," (000 EUR)")</f>
        <v>#NAME?</v>
      </c>
      <c r="B31" s="14" t="str">
        <f>ROUND(B30/1000,0)&amp;"k EUR"</f>
        <v>1481705834k EUR</v>
      </c>
      <c r="C31" s="14" t="str">
        <f t="shared" ref="C31:BI31" si="7">ROUND(C30/1000,0)&amp;"k EUR"</f>
        <v>2131092117k EUR</v>
      </c>
      <c r="D31" s="14" t="str">
        <f t="shared" si="7"/>
        <v>550787473k EUR</v>
      </c>
      <c r="E31" s="14" t="str">
        <f t="shared" si="7"/>
        <v>2251431401k EUR</v>
      </c>
      <c r="F31" s="14" t="str">
        <f t="shared" si="7"/>
        <v>660396892k EUR</v>
      </c>
      <c r="G31" s="14" t="str">
        <f t="shared" si="7"/>
        <v>78483921k EUR</v>
      </c>
      <c r="H31" s="14" t="str">
        <f t="shared" si="7"/>
        <v>105711091k EUR</v>
      </c>
      <c r="I31" s="14" t="str">
        <f t="shared" si="7"/>
        <v>528305193k EUR</v>
      </c>
      <c r="J31" s="14" t="str">
        <f t="shared" si="7"/>
        <v>225837331k EUR</v>
      </c>
      <c r="K31" s="14" t="str">
        <f t="shared" si="7"/>
        <v>91875398k EUR</v>
      </c>
      <c r="L31" s="14" t="str">
        <f t="shared" si="7"/>
        <v>103418137k EUR</v>
      </c>
      <c r="M31" s="14" t="str">
        <f t="shared" si="7"/>
        <v>123955050k EUR</v>
      </c>
      <c r="N31" s="14" t="str">
        <f t="shared" si="7"/>
        <v>125131500k EUR</v>
      </c>
      <c r="O31" s="14" t="str">
        <f t="shared" si="7"/>
        <v>513231660k EUR</v>
      </c>
      <c r="P31" s="14" t="str">
        <f t="shared" si="7"/>
        <v>216894600k EUR</v>
      </c>
      <c r="Q31" s="14" t="str">
        <f t="shared" si="7"/>
        <v>62565750k EUR</v>
      </c>
      <c r="R31" s="14" t="str">
        <f t="shared" si="7"/>
        <v>24892613k EUR</v>
      </c>
      <c r="S31" s="14" t="str">
        <f t="shared" si="7"/>
        <v>73153800k EUR</v>
      </c>
      <c r="T31" s="14" t="str">
        <f t="shared" si="7"/>
        <v>74982645k EUR</v>
      </c>
      <c r="U31" s="14" t="str">
        <f t="shared" si="7"/>
        <v>79410375k EUR</v>
      </c>
      <c r="V31" s="14" t="str">
        <f t="shared" si="7"/>
        <v>79249950k EUR</v>
      </c>
      <c r="W31" s="14" t="str">
        <f t="shared" si="7"/>
        <v>271439100k EUR</v>
      </c>
      <c r="X31" s="14" t="str">
        <f t="shared" si="7"/>
        <v>234332280k EUR</v>
      </c>
      <c r="Y31" s="14" t="str">
        <f t="shared" si="7"/>
        <v>187711688k EUR</v>
      </c>
      <c r="Z31" s="14" t="str">
        <f t="shared" si="7"/>
        <v>274890804k EUR</v>
      </c>
      <c r="AA31" s="14" t="str">
        <f t="shared" si="7"/>
        <v>112830266k EUR</v>
      </c>
      <c r="AB31" s="14" t="str">
        <f t="shared" si="7"/>
        <v>292230180k EUR</v>
      </c>
      <c r="AC31" s="14" t="str">
        <f t="shared" si="7"/>
        <v>60715688k EUR</v>
      </c>
      <c r="AD31" s="14" t="str">
        <f t="shared" si="7"/>
        <v>-6962963k EUR</v>
      </c>
      <c r="AE31" s="14" t="str">
        <f t="shared" si="7"/>
        <v>239674950k EUR</v>
      </c>
      <c r="AF31" s="14" t="str">
        <f t="shared" si="7"/>
        <v>174630375k EUR</v>
      </c>
      <c r="AG31" s="14" t="str">
        <f t="shared" si="7"/>
        <v>208314450k EUR</v>
      </c>
      <c r="AH31" s="14" t="str">
        <f t="shared" si="7"/>
        <v>76040300k EUR</v>
      </c>
      <c r="AI31" s="14" t="str">
        <f t="shared" si="7"/>
        <v>411723000k EUR</v>
      </c>
      <c r="AJ31" s="14" t="str">
        <f t="shared" si="7"/>
        <v>383778311k EUR</v>
      </c>
      <c r="AK31" s="14" t="str">
        <f t="shared" si="7"/>
        <v>110400000k EUR</v>
      </c>
      <c r="AL31" s="14" t="str">
        <f t="shared" si="7"/>
        <v>154100000k EUR</v>
      </c>
      <c r="AM31" s="14" t="str">
        <f t="shared" si="7"/>
        <v>253920000k EUR</v>
      </c>
      <c r="AN31" s="14" t="str">
        <f t="shared" si="7"/>
        <v>335943750k EUR</v>
      </c>
      <c r="AO31" s="14" t="str">
        <f t="shared" si="7"/>
        <v>161874000k EUR</v>
      </c>
      <c r="AP31" s="14" t="str">
        <f t="shared" si="7"/>
        <v>166803188k EUR</v>
      </c>
      <c r="AQ31" s="14" t="str">
        <f t="shared" si="7"/>
        <v>249693750k EUR</v>
      </c>
      <c r="AR31" s="14" t="str">
        <f t="shared" si="7"/>
        <v>49431600k EUR</v>
      </c>
      <c r="AS31" s="14" t="str">
        <f t="shared" si="7"/>
        <v>47092500k EUR</v>
      </c>
      <c r="AT31" s="14" t="str">
        <f t="shared" si="7"/>
        <v>41658750k EUR</v>
      </c>
      <c r="AU31" s="14" t="str">
        <f t="shared" si="7"/>
        <v>139259250k EUR</v>
      </c>
      <c r="AV31" s="14" t="str">
        <f t="shared" si="7"/>
        <v>202854308k EUR</v>
      </c>
      <c r="AW31" s="14" t="str">
        <f t="shared" si="7"/>
        <v>61988220k EUR</v>
      </c>
      <c r="AX31" s="14" t="str">
        <f t="shared" si="7"/>
        <v>123786000k EUR</v>
      </c>
      <c r="AY31" s="14" t="str">
        <f t="shared" si="7"/>
        <v>211674060k EUR</v>
      </c>
      <c r="AZ31" s="14" t="str">
        <f t="shared" si="7"/>
        <v>83009243k EUR</v>
      </c>
      <c r="BA31" s="14" t="str">
        <f t="shared" si="7"/>
        <v>23101200k EUR</v>
      </c>
      <c r="BB31" s="14" t="str">
        <f t="shared" si="7"/>
        <v>48438000k EUR</v>
      </c>
      <c r="BC31" s="14" t="str">
        <f t="shared" si="7"/>
        <v>66412500k EUR</v>
      </c>
      <c r="BD31" s="14" t="str">
        <f t="shared" si="7"/>
        <v>-24219000k EUR</v>
      </c>
      <c r="BE31" s="14" t="str">
        <f t="shared" si="7"/>
        <v>71760000k EUR</v>
      </c>
      <c r="BF31" s="14" t="str">
        <f t="shared" si="7"/>
        <v>60715688k EUR</v>
      </c>
      <c r="BG31" s="14" t="str">
        <f t="shared" si="7"/>
        <v>-24581250k EUR</v>
      </c>
      <c r="BH31" s="14" t="str">
        <f t="shared" si="7"/>
        <v>11730000k EUR</v>
      </c>
      <c r="BI31" s="14" t="str">
        <f t="shared" si="7"/>
        <v>331531200k EUR</v>
      </c>
    </row>
    <row r="32" spans="1:63">
      <c r="A32" s="10" t="s">
        <v>1</v>
      </c>
      <c r="B32" s="16" t="e">
        <f ca="1">IF(
  _xlfn.TEXTJOIN(" | ",TRUE,
    IF(B14&gt;=60,"Very high customer concentration",""),
    IF(AND(B14&lt;60,B14&gt;=45),"High customer concentration",""),
    IF(B11/B10&lt;0.05,"Very low profitability",""),
    IF(B19&lt;=-0.4,"Elevated country risk","")
  )="",
  "No major concentration risk",
  _xlfn.TEXTJOIN(" | ",TRUE,
    IF(B14&gt;=60,"Very high customer concentration",""),
    IF(AND(B14&lt;60,B14&gt;=45),"High customer concentration",""),
    IF(B11/B10&lt;0.05,"Very low profitability",""),
    IF(B19&lt;=-0.4,"Elevated country risk","")
  )
)</f>
        <v>#NAME?</v>
      </c>
      <c r="C32" s="16" t="e">
        <f ca="1">IF(
  _xlfn.TEXTJOIN(" | ",TRUE,
    IF(C14&gt;=60,"Very high customer concentration",""),
    IF(AND(C14&lt;60,C14&gt;=45),"High customer concentration",""),
    IF(C11/C10&lt;0.05,"Very low profitability",""),
    IF(C19&lt;=-0.4,"Elevated country risk","")
  )="",
  "No major concentration risk",
  _xlfn.TEXTJOIN(" | ",TRUE,
    IF(C14&gt;=60,"Very high customer concentration",""),
    IF(AND(C14&lt;60,C14&gt;=45),"High customer concentration",""),
    IF(C11/C10&lt;0.05,"Very low profitability",""),
    IF(C19&lt;=-0.4,"Elevated country risk","")
  )
)</f>
        <v>#NAME?</v>
      </c>
      <c r="D32" s="16" t="e">
        <f ca="1">IF(
  _xlfn.TEXTJOIN(" | ",TRUE,
    IF(D14&gt;=60,"Very high customer concentration",""),
    IF(AND(D14&lt;60,D14&gt;=45),"High customer concentration",""),
    IF(D11/D10&lt;0.05,"Very low profitability",""),
    IF(D19&lt;=-0.4,"Elevated country risk","")
  )="",
  "No major concentration risk",
  _xlfn.TEXTJOIN(" | ",TRUE,
    IF(D14&gt;=60,"Very high customer concentration",""),
    IF(AND(D14&lt;60,D14&gt;=45),"High customer concentration",""),
    IF(D11/D10&lt;0.05,"Very low profitability",""),
    IF(D19&lt;=-0.4,"Elevated country risk","")
  )
)</f>
        <v>#NAME?</v>
      </c>
      <c r="E32" s="16" t="e">
        <f ca="1">IF(
  _xlfn.TEXTJOIN(" | ",TRUE,
    IF(E14&gt;=60,"Very high customer concentration",""),
    IF(AND(E14&lt;60,E14&gt;=45),"High customer concentration",""),
    IF(E11/E10&lt;0.05,"Very low profitability",""),
    IF(E19&lt;=-0.4,"Elevated country risk","")
  )="",
  "No major concentration risk",
  _xlfn.TEXTJOIN(" | ",TRUE,
    IF(E14&gt;=60,"Very high customer concentration",""),
    IF(AND(E14&lt;60,E14&gt;=45),"High customer concentration",""),
    IF(E11/E10&lt;0.05,"Very low profitability",""),
    IF(E19&lt;=-0.4,"Elevated country risk","")
  )
)</f>
        <v>#NAME?</v>
      </c>
      <c r="F32" s="16" t="e">
        <f ca="1">IF(
  _xlfn.TEXTJOIN(" | ",TRUE,
    IF(F14&gt;=60,"Very high customer concentration",""),
    IF(AND(F14&lt;60,F14&gt;=45),"High customer concentration",""),
    IF(F11/F10&lt;0.05,"Very low profitability",""),
    IF(F19&lt;=-0.4,"Elevated country risk","")
  )="",
  "No major concentration risk",
  _xlfn.TEXTJOIN(" | ",TRUE,
    IF(F14&gt;=60,"Very high customer concentration",""),
    IF(AND(F14&lt;60,F14&gt;=45),"High customer concentration",""),
    IF(F11/F10&lt;0.05,"Very low profitability",""),
    IF(F19&lt;=-0.4,"Elevated country risk","")
  )
)</f>
        <v>#NAME?</v>
      </c>
      <c r="G32" s="16" t="e">
        <f ca="1">IF(
  _xlfn.TEXTJOIN(" | ",TRUE,
    IF(G14&gt;=60,"Very high customer concentration",""),
    IF(AND(G14&lt;60,G14&gt;=45),"High customer concentration",""),
    IF(G11/G10&lt;0.05,"Very low profitability",""),
    IF(G19&lt;=-0.4,"Elevated country risk","")
  )="",
  "No major concentration risk",
  _xlfn.TEXTJOIN(" | ",TRUE,
    IF(G14&gt;=60,"Very high customer concentration",""),
    IF(AND(G14&lt;60,G14&gt;=45),"High customer concentration",""),
    IF(G11/G10&lt;0.05,"Very low profitability",""),
    IF(G19&lt;=-0.4,"Elevated country risk","")
  )
)</f>
        <v>#NAME?</v>
      </c>
      <c r="H32" s="16" t="e">
        <f ca="1">IF(
  _xlfn.TEXTJOIN(" | ",TRUE,
    IF(H14&gt;=60,"Very high customer concentration",""),
    IF(AND(H14&lt;60,H14&gt;=45),"High customer concentration",""),
    IF(H11/H10&lt;0.05,"Very low profitability",""),
    IF(H19&lt;=-0.4,"Elevated country risk","")
  )="",
  "No major concentration risk",
  _xlfn.TEXTJOIN(" | ",TRUE,
    IF(H14&gt;=60,"Very high customer concentration",""),
    IF(AND(H14&lt;60,H14&gt;=45),"High customer concentration",""),
    IF(H11/H10&lt;0.05,"Very low profitability",""),
    IF(H19&lt;=-0.4,"Elevated country risk","")
  )
)</f>
        <v>#NAME?</v>
      </c>
      <c r="I32" s="16" t="e">
        <f ca="1">IF(
  _xlfn.TEXTJOIN(" | ",TRUE,
    IF(I14&gt;=60,"Very high customer concentration",""),
    IF(AND(I14&lt;60,I14&gt;=45),"High customer concentration",""),
    IF(I11/I10&lt;0.05,"Very low profitability",""),
    IF(I19&lt;=-0.4,"Elevated country risk","")
  )="",
  "No major concentration risk",
  _xlfn.TEXTJOIN(" | ",TRUE,
    IF(I14&gt;=60,"Very high customer concentration",""),
    IF(AND(I14&lt;60,I14&gt;=45),"High customer concentration",""),
    IF(I11/I10&lt;0.05,"Very low profitability",""),
    IF(I19&lt;=-0.4,"Elevated country risk","")
  )
)</f>
        <v>#NAME?</v>
      </c>
      <c r="J32" s="16" t="e">
        <f ca="1">IF(
  _xlfn.TEXTJOIN(" | ",TRUE,
    IF(J14&gt;=60,"Very high customer concentration",""),
    IF(AND(J14&lt;60,J14&gt;=45),"High customer concentration",""),
    IF(J11/J10&lt;0.05,"Very low profitability",""),
    IF(J19&lt;=-0.4,"Elevated country risk","")
  )="",
  "No major concentration risk",
  _xlfn.TEXTJOIN(" | ",TRUE,
    IF(J14&gt;=60,"Very high customer concentration",""),
    IF(AND(J14&lt;60,J14&gt;=45),"High customer concentration",""),
    IF(J11/J10&lt;0.05,"Very low profitability",""),
    IF(J19&lt;=-0.4,"Elevated country risk","")
  )
)</f>
        <v>#NAME?</v>
      </c>
      <c r="K32" s="16" t="e">
        <f ca="1">IF(
  _xlfn.TEXTJOIN(" | ",TRUE,
    IF(K14&gt;=60,"Very high customer concentration",""),
    IF(AND(K14&lt;60,K14&gt;=45),"High customer concentration",""),
    IF(K11/K10&lt;0.05,"Very low profitability",""),
    IF(K19&lt;=-0.4,"Elevated country risk","")
  )="",
  "No major concentration risk",
  _xlfn.TEXTJOIN(" | ",TRUE,
    IF(K14&gt;=60,"Very high customer concentration",""),
    IF(AND(K14&lt;60,K14&gt;=45),"High customer concentration",""),
    IF(K11/K10&lt;0.05,"Very low profitability",""),
    IF(K19&lt;=-0.4,"Elevated country risk","")
  )
)</f>
        <v>#NAME?</v>
      </c>
      <c r="L32" s="16" t="e">
        <f ca="1">IF(
  _xlfn.TEXTJOIN(" | ",TRUE,
    IF(L14&gt;=60,"Very high customer concentration",""),
    IF(AND(L14&lt;60,L14&gt;=45),"High customer concentration",""),
    IF(L11/L10&lt;0.05,"Very low profitability",""),
    IF(L19&lt;=-0.4,"Elevated country risk","")
  )="",
  "No major concentration risk",
  _xlfn.TEXTJOIN(" | ",TRUE,
    IF(L14&gt;=60,"Very high customer concentration",""),
    IF(AND(L14&lt;60,L14&gt;=45),"High customer concentration",""),
    IF(L11/L10&lt;0.05,"Very low profitability",""),
    IF(L19&lt;=-0.4,"Elevated country risk","")
  )
)</f>
        <v>#NAME?</v>
      </c>
      <c r="M32" s="16" t="e">
        <f ca="1">IF(
  _xlfn.TEXTJOIN(" | ",TRUE,
    IF(M14&gt;=60,"Very high customer concentration",""),
    IF(AND(M14&lt;60,M14&gt;=45),"High customer concentration",""),
    IF(M11/M10&lt;0.05,"Very low profitability",""),
    IF(M19&lt;=-0.4,"Elevated country risk","")
  )="",
  "No major concentration risk",
  _xlfn.TEXTJOIN(" | ",TRUE,
    IF(M14&gt;=60,"Very high customer concentration",""),
    IF(AND(M14&lt;60,M14&gt;=45),"High customer concentration",""),
    IF(M11/M10&lt;0.05,"Very low profitability",""),
    IF(M19&lt;=-0.4,"Elevated country risk","")
  )
)</f>
        <v>#NAME?</v>
      </c>
      <c r="N32" s="16" t="e">
        <f ca="1">IF(
  _xlfn.TEXTJOIN(" | ",TRUE,
    IF(N14&gt;=60,"Very high customer concentration",""),
    IF(AND(N14&lt;60,N14&gt;=45),"High customer concentration",""),
    IF(N11/N10&lt;0.05,"Very low profitability",""),
    IF(N19&lt;=-0.4,"Elevated country risk","")
  )="",
  "No major concentration risk",
  _xlfn.TEXTJOIN(" | ",TRUE,
    IF(N14&gt;=60,"Very high customer concentration",""),
    IF(AND(N14&lt;60,N14&gt;=45),"High customer concentration",""),
    IF(N11/N10&lt;0.05,"Very low profitability",""),
    IF(N19&lt;=-0.4,"Elevated country risk","")
  )
)</f>
        <v>#NAME?</v>
      </c>
      <c r="O32" s="16" t="e">
        <f ca="1">IF(
  _xlfn.TEXTJOIN(" | ",TRUE,
    IF(O14&gt;=60,"Very high customer concentration",""),
    IF(AND(O14&lt;60,O14&gt;=45),"High customer concentration",""),
    IF(O11/O10&lt;0.05,"Very low profitability",""),
    IF(O19&lt;=-0.4,"Elevated country risk","")
  )="",
  "No major concentration risk",
  _xlfn.TEXTJOIN(" | ",TRUE,
    IF(O14&gt;=60,"Very high customer concentration",""),
    IF(AND(O14&lt;60,O14&gt;=45),"High customer concentration",""),
    IF(O11/O10&lt;0.05,"Very low profitability",""),
    IF(O19&lt;=-0.4,"Elevated country risk","")
  )
)</f>
        <v>#NAME?</v>
      </c>
      <c r="P32" s="16" t="e">
        <f ca="1">IF(
  _xlfn.TEXTJOIN(" | ",TRUE,
    IF(P14&gt;=60,"Very high customer concentration",""),
    IF(AND(P14&lt;60,P14&gt;=45),"High customer concentration",""),
    IF(P11/P10&lt;0.05,"Very low profitability",""),
    IF(P19&lt;=-0.4,"Elevated country risk","")
  )="",
  "No major concentration risk",
  _xlfn.TEXTJOIN(" | ",TRUE,
    IF(P14&gt;=60,"Very high customer concentration",""),
    IF(AND(P14&lt;60,P14&gt;=45),"High customer concentration",""),
    IF(P11/P10&lt;0.05,"Very low profitability",""),
    IF(P19&lt;=-0.4,"Elevated country risk","")
  )
)</f>
        <v>#NAME?</v>
      </c>
      <c r="Q32" s="16" t="e">
        <f ca="1">IF(
  _xlfn.TEXTJOIN(" | ",TRUE,
    IF(Q14&gt;=60,"Very high customer concentration",""),
    IF(AND(Q14&lt;60,Q14&gt;=45),"High customer concentration",""),
    IF(Q11/Q10&lt;0.05,"Very low profitability",""),
    IF(Q19&lt;=-0.4,"Elevated country risk","")
  )="",
  "No major concentration risk",
  _xlfn.TEXTJOIN(" | ",TRUE,
    IF(Q14&gt;=60,"Very high customer concentration",""),
    IF(AND(Q14&lt;60,Q14&gt;=45),"High customer concentration",""),
    IF(Q11/Q10&lt;0.05,"Very low profitability",""),
    IF(Q19&lt;=-0.4,"Elevated country risk","")
  )
)</f>
        <v>#NAME?</v>
      </c>
      <c r="R32" s="16" t="e">
        <f ca="1">IF(
  _xlfn.TEXTJOIN(" | ",TRUE,
    IF(R14&gt;=60,"Very high customer concentration",""),
    IF(AND(R14&lt;60,R14&gt;=45),"High customer concentration",""),
    IF(R11/R10&lt;0.05,"Very low profitability",""),
    IF(R19&lt;=-0.4,"Elevated country risk","")
  )="",
  "No major concentration risk",
  _xlfn.TEXTJOIN(" | ",TRUE,
    IF(R14&gt;=60,"Very high customer concentration",""),
    IF(AND(R14&lt;60,R14&gt;=45),"High customer concentration",""),
    IF(R11/R10&lt;0.05,"Very low profitability",""),
    IF(R19&lt;=-0.4,"Elevated country risk","")
  )
)</f>
        <v>#NAME?</v>
      </c>
      <c r="S32" s="16" t="e">
        <f ca="1">IF(
  _xlfn.TEXTJOIN(" | ",TRUE,
    IF(S14&gt;=60,"Very high customer concentration",""),
    IF(AND(S14&lt;60,S14&gt;=45),"High customer concentration",""),
    IF(S11/S10&lt;0.05,"Very low profitability",""),
    IF(S19&lt;=-0.4,"Elevated country risk","")
  )="",
  "No major concentration risk",
  _xlfn.TEXTJOIN(" | ",TRUE,
    IF(S14&gt;=60,"Very high customer concentration",""),
    IF(AND(S14&lt;60,S14&gt;=45),"High customer concentration",""),
    IF(S11/S10&lt;0.05,"Very low profitability",""),
    IF(S19&lt;=-0.4,"Elevated country risk","")
  )
)</f>
        <v>#NAME?</v>
      </c>
      <c r="T32" s="16" t="e">
        <f ca="1">IF(
  _xlfn.TEXTJOIN(" | ",TRUE,
    IF(T14&gt;=60,"Very high customer concentration",""),
    IF(AND(T14&lt;60,T14&gt;=45),"High customer concentration",""),
    IF(T11/T10&lt;0.05,"Very low profitability",""),
    IF(T19&lt;=-0.4,"Elevated country risk","")
  )="",
  "No major concentration risk",
  _xlfn.TEXTJOIN(" | ",TRUE,
    IF(T14&gt;=60,"Very high customer concentration",""),
    IF(AND(T14&lt;60,T14&gt;=45),"High customer concentration",""),
    IF(T11/T10&lt;0.05,"Very low profitability",""),
    IF(T19&lt;=-0.4,"Elevated country risk","")
  )
)</f>
        <v>#NAME?</v>
      </c>
      <c r="U32" s="16" t="e">
        <f ca="1">IF(
  _xlfn.TEXTJOIN(" | ",TRUE,
    IF(U14&gt;=60,"Very high customer concentration",""),
    IF(AND(U14&lt;60,U14&gt;=45),"High customer concentration",""),
    IF(U11/U10&lt;0.05,"Very low profitability",""),
    IF(U19&lt;=-0.4,"Elevated country risk","")
  )="",
  "No major concentration risk",
  _xlfn.TEXTJOIN(" | ",TRUE,
    IF(U14&gt;=60,"Very high customer concentration",""),
    IF(AND(U14&lt;60,U14&gt;=45),"High customer concentration",""),
    IF(U11/U10&lt;0.05,"Very low profitability",""),
    IF(U19&lt;=-0.4,"Elevated country risk","")
  )
)</f>
        <v>#NAME?</v>
      </c>
      <c r="V32" s="16" t="e">
        <f ca="1">IF(
  _xlfn.TEXTJOIN(" | ",TRUE,
    IF(V14&gt;=60,"Very high customer concentration",""),
    IF(AND(V14&lt;60,V14&gt;=45),"High customer concentration",""),
    IF(V11/V10&lt;0.05,"Very low profitability",""),
    IF(V19&lt;=-0.4,"Elevated country risk","")
  )="",
  "No major concentration risk",
  _xlfn.TEXTJOIN(" | ",TRUE,
    IF(V14&gt;=60,"Very high customer concentration",""),
    IF(AND(V14&lt;60,V14&gt;=45),"High customer concentration",""),
    IF(V11/V10&lt;0.05,"Very low profitability",""),
    IF(V19&lt;=-0.4,"Elevated country risk","")
  )
)</f>
        <v>#NAME?</v>
      </c>
      <c r="W32" s="16" t="e">
        <f ca="1">IF(
  _xlfn.TEXTJOIN(" | ",TRUE,
    IF(W14&gt;=60,"Very high customer concentration",""),
    IF(AND(W14&lt;60,W14&gt;=45),"High customer concentration",""),
    IF(W11/W10&lt;0.05,"Very low profitability",""),
    IF(W19&lt;=-0.4,"Elevated country risk","")
  )="",
  "No major concentration risk",
  _xlfn.TEXTJOIN(" | ",TRUE,
    IF(W14&gt;=60,"Very high customer concentration",""),
    IF(AND(W14&lt;60,W14&gt;=45),"High customer concentration",""),
    IF(W11/W10&lt;0.05,"Very low profitability",""),
    IF(W19&lt;=-0.4,"Elevated country risk","")
  )
)</f>
        <v>#NAME?</v>
      </c>
      <c r="X32" s="16" t="e">
        <f ca="1">IF(
  _xlfn.TEXTJOIN(" | ",TRUE,
    IF(X14&gt;=60,"Very high customer concentration",""),
    IF(AND(X14&lt;60,X14&gt;=45),"High customer concentration",""),
    IF(X11/X10&lt;0.05,"Very low profitability",""),
    IF(X19&lt;=-0.4,"Elevated country risk","")
  )="",
  "No major concentration risk",
  _xlfn.TEXTJOIN(" | ",TRUE,
    IF(X14&gt;=60,"Very high customer concentration",""),
    IF(AND(X14&lt;60,X14&gt;=45),"High customer concentration",""),
    IF(X11/X10&lt;0.05,"Very low profitability",""),
    IF(X19&lt;=-0.4,"Elevated country risk","")
  )
)</f>
        <v>#NAME?</v>
      </c>
      <c r="Y32" s="16" t="e">
        <f ca="1">IF(
  _xlfn.TEXTJOIN(" | ",TRUE,
    IF(Y14&gt;=60,"Very high customer concentration",""),
    IF(AND(Y14&lt;60,Y14&gt;=45),"High customer concentration",""),
    IF(Y11/Y10&lt;0.05,"Very low profitability",""),
    IF(Y19&lt;=-0.4,"Elevated country risk","")
  )="",
  "No major concentration risk",
  _xlfn.TEXTJOIN(" | ",TRUE,
    IF(Y14&gt;=60,"Very high customer concentration",""),
    IF(AND(Y14&lt;60,Y14&gt;=45),"High customer concentration",""),
    IF(Y11/Y10&lt;0.05,"Very low profitability",""),
    IF(Y19&lt;=-0.4,"Elevated country risk","")
  )
)</f>
        <v>#NAME?</v>
      </c>
      <c r="Z32" s="16" t="e">
        <f ca="1">IF(
  _xlfn.TEXTJOIN(" | ",TRUE,
    IF(Z14&gt;=60,"Very high customer concentration",""),
    IF(AND(Z14&lt;60,Z14&gt;=45),"High customer concentration",""),
    IF(Z11/Z10&lt;0.05,"Very low profitability",""),
    IF(Z19&lt;=-0.4,"Elevated country risk","")
  )="",
  "No major concentration risk",
  _xlfn.TEXTJOIN(" | ",TRUE,
    IF(Z14&gt;=60,"Very high customer concentration",""),
    IF(AND(Z14&lt;60,Z14&gt;=45),"High customer concentration",""),
    IF(Z11/Z10&lt;0.05,"Very low profitability",""),
    IF(Z19&lt;=-0.4,"Elevated country risk","")
  )
)</f>
        <v>#NAME?</v>
      </c>
      <c r="AA32" s="16" t="e">
        <f ca="1">IF(
  _xlfn.TEXTJOIN(" | ",TRUE,
    IF(AA14&gt;=60,"Very high customer concentration",""),
    IF(AND(AA14&lt;60,AA14&gt;=45),"High customer concentration",""),
    IF(AA11/AA10&lt;0.05,"Very low profitability",""),
    IF(AA19&lt;=-0.4,"Elevated country risk","")
  )="",
  "No major concentration risk",
  _xlfn.TEXTJOIN(" | ",TRUE,
    IF(AA14&gt;=60,"Very high customer concentration",""),
    IF(AND(AA14&lt;60,AA14&gt;=45),"High customer concentration",""),
    IF(AA11/AA10&lt;0.05,"Very low profitability",""),
    IF(AA19&lt;=-0.4,"Elevated country risk","")
  )
)</f>
        <v>#NAME?</v>
      </c>
      <c r="AB32" s="16" t="e">
        <f ca="1">IF(
  _xlfn.TEXTJOIN(" | ",TRUE,
    IF(AB14&gt;=60,"Very high customer concentration",""),
    IF(AND(AB14&lt;60,AB14&gt;=45),"High customer concentration",""),
    IF(AB11/AB10&lt;0.05,"Very low profitability",""),
    IF(AB19&lt;=-0.4,"Elevated country risk","")
  )="",
  "No major concentration risk",
  _xlfn.TEXTJOIN(" | ",TRUE,
    IF(AB14&gt;=60,"Very high customer concentration",""),
    IF(AND(AB14&lt;60,AB14&gt;=45),"High customer concentration",""),
    IF(AB11/AB10&lt;0.05,"Very low profitability",""),
    IF(AB19&lt;=-0.4,"Elevated country risk","")
  )
)</f>
        <v>#NAME?</v>
      </c>
      <c r="AC32" s="16" t="e">
        <f ca="1">IF(
  _xlfn.TEXTJOIN(" | ",TRUE,
    IF(AC14&gt;=60,"Very high customer concentration",""),
    IF(AND(AC14&lt;60,AC14&gt;=45),"High customer concentration",""),
    IF(AC11/AC10&lt;0.05,"Very low profitability",""),
    IF(AC19&lt;=-0.4,"Elevated country risk","")
  )="",
  "No major concentration risk",
  _xlfn.TEXTJOIN(" | ",TRUE,
    IF(AC14&gt;=60,"Very high customer concentration",""),
    IF(AND(AC14&lt;60,AC14&gt;=45),"High customer concentration",""),
    IF(AC11/AC10&lt;0.05,"Very low profitability",""),
    IF(AC19&lt;=-0.4,"Elevated country risk","")
  )
)</f>
        <v>#NAME?</v>
      </c>
      <c r="AD32" s="16" t="e">
        <f ca="1">IF(
  _xlfn.TEXTJOIN(" | ",TRUE,
    IF(AD14&gt;=60,"Very high customer concentration",""),
    IF(AND(AD14&lt;60,AD14&gt;=45),"High customer concentration",""),
    IF(AD11/AD10&lt;0.05,"Very low profitability",""),
    IF(AD19&lt;=-0.4,"Elevated country risk","")
  )="",
  "No major concentration risk",
  _xlfn.TEXTJOIN(" | ",TRUE,
    IF(AD14&gt;=60,"Very high customer concentration",""),
    IF(AND(AD14&lt;60,AD14&gt;=45),"High customer concentration",""),
    IF(AD11/AD10&lt;0.05,"Very low profitability",""),
    IF(AD19&lt;=-0.4,"Elevated country risk","")
  )
)</f>
        <v>#NAME?</v>
      </c>
      <c r="AE32" s="16" t="e">
        <f ca="1">IF(
  _xlfn.TEXTJOIN(" | ",TRUE,
    IF(AE14&gt;=60,"Very high customer concentration",""),
    IF(AND(AE14&lt;60,AE14&gt;=45),"High customer concentration",""),
    IF(AE11/AE10&lt;0.05,"Very low profitability",""),
    IF(AE19&lt;=-0.4,"Elevated country risk","")
  )="",
  "No major concentration risk",
  _xlfn.TEXTJOIN(" | ",TRUE,
    IF(AE14&gt;=60,"Very high customer concentration",""),
    IF(AND(AE14&lt;60,AE14&gt;=45),"High customer concentration",""),
    IF(AE11/AE10&lt;0.05,"Very low profitability",""),
    IF(AE19&lt;=-0.4,"Elevated country risk","")
  )
)</f>
        <v>#NAME?</v>
      </c>
      <c r="AF32" s="16" t="e">
        <f ca="1">IF(
  _xlfn.TEXTJOIN(" | ",TRUE,
    IF(AF14&gt;=60,"Very high customer concentration",""),
    IF(AND(AF14&lt;60,AF14&gt;=45),"High customer concentration",""),
    IF(AF11/AF10&lt;0.05,"Very low profitability",""),
    IF(AF19&lt;=-0.4,"Elevated country risk","")
  )="",
  "No major concentration risk",
  _xlfn.TEXTJOIN(" | ",TRUE,
    IF(AF14&gt;=60,"Very high customer concentration",""),
    IF(AND(AF14&lt;60,AF14&gt;=45),"High customer concentration",""),
    IF(AF11/AF10&lt;0.05,"Very low profitability",""),
    IF(AF19&lt;=-0.4,"Elevated country risk","")
  )
)</f>
        <v>#NAME?</v>
      </c>
      <c r="AG32" s="16" t="e">
        <f ca="1">IF(
  _xlfn.TEXTJOIN(" | ",TRUE,
    IF(AG14&gt;=60,"Very high customer concentration",""),
    IF(AND(AG14&lt;60,AG14&gt;=45),"High customer concentration",""),
    IF(AG11/AG10&lt;0.05,"Very low profitability",""),
    IF(AG19&lt;=-0.4,"Elevated country risk","")
  )="",
  "No major concentration risk",
  _xlfn.TEXTJOIN(" | ",TRUE,
    IF(AG14&gt;=60,"Very high customer concentration",""),
    IF(AND(AG14&lt;60,AG14&gt;=45),"High customer concentration",""),
    IF(AG11/AG10&lt;0.05,"Very low profitability",""),
    IF(AG19&lt;=-0.4,"Elevated country risk","")
  )
)</f>
        <v>#NAME?</v>
      </c>
      <c r="AH32" s="16" t="e">
        <f ca="1">IF(
  _xlfn.TEXTJOIN(" | ",TRUE,
    IF(AH14&gt;=60,"Very high customer concentration",""),
    IF(AND(AH14&lt;60,AH14&gt;=45),"High customer concentration",""),
    IF(AH11/AH10&lt;0.05,"Very low profitability",""),
    IF(AH19&lt;=-0.4,"Elevated country risk","")
  )="",
  "No major concentration risk",
  _xlfn.TEXTJOIN(" | ",TRUE,
    IF(AH14&gt;=60,"Very high customer concentration",""),
    IF(AND(AH14&lt;60,AH14&gt;=45),"High customer concentration",""),
    IF(AH11/AH10&lt;0.05,"Very low profitability",""),
    IF(AH19&lt;=-0.4,"Elevated country risk","")
  )
)</f>
        <v>#NAME?</v>
      </c>
      <c r="AI32" s="16" t="e">
        <f ca="1">IF(
  _xlfn.TEXTJOIN(" | ",TRUE,
    IF(AI14&gt;=60,"Very high customer concentration",""),
    IF(AND(AI14&lt;60,AI14&gt;=45),"High customer concentration",""),
    IF(AI11/AI10&lt;0.05,"Very low profitability",""),
    IF(AI19&lt;=-0.4,"Elevated country risk","")
  )="",
  "No major concentration risk",
  _xlfn.TEXTJOIN(" | ",TRUE,
    IF(AI14&gt;=60,"Very high customer concentration",""),
    IF(AND(AI14&lt;60,AI14&gt;=45),"High customer concentration",""),
    IF(AI11/AI10&lt;0.05,"Very low profitability",""),
    IF(AI19&lt;=-0.4,"Elevated country risk","")
  )
)</f>
        <v>#NAME?</v>
      </c>
      <c r="AJ32" s="16" t="e">
        <f ca="1">IF(
  _xlfn.TEXTJOIN(" | ",TRUE,
    IF(AJ14&gt;=60,"Very high customer concentration",""),
    IF(AND(AJ14&lt;60,AJ14&gt;=45),"High customer concentration",""),
    IF(AJ11/AJ10&lt;0.05,"Very low profitability",""),
    IF(AJ19&lt;=-0.4,"Elevated country risk","")
  )="",
  "No major concentration risk",
  _xlfn.TEXTJOIN(" | ",TRUE,
    IF(AJ14&gt;=60,"Very high customer concentration",""),
    IF(AND(AJ14&lt;60,AJ14&gt;=45),"High customer concentration",""),
    IF(AJ11/AJ10&lt;0.05,"Very low profitability",""),
    IF(AJ19&lt;=-0.4,"Elevated country risk","")
  )
)</f>
        <v>#NAME?</v>
      </c>
      <c r="AK32" s="16" t="e">
        <f ca="1">IF(
  _xlfn.TEXTJOIN(" | ",TRUE,
    IF(AK14&gt;=60,"Very high customer concentration",""),
    IF(AND(AK14&lt;60,AK14&gt;=45),"High customer concentration",""),
    IF(AK11/AK10&lt;0.05,"Very low profitability",""),
    IF(AK19&lt;=-0.4,"Elevated country risk","")
  )="",
  "No major concentration risk",
  _xlfn.TEXTJOIN(" | ",TRUE,
    IF(AK14&gt;=60,"Very high customer concentration",""),
    IF(AND(AK14&lt;60,AK14&gt;=45),"High customer concentration",""),
    IF(AK11/AK10&lt;0.05,"Very low profitability",""),
    IF(AK19&lt;=-0.4,"Elevated country risk","")
  )
)</f>
        <v>#NAME?</v>
      </c>
      <c r="AL32" s="16" t="e">
        <f ca="1">IF(
  _xlfn.TEXTJOIN(" | ",TRUE,
    IF(AL14&gt;=60,"Very high customer concentration",""),
    IF(AND(AL14&lt;60,AL14&gt;=45),"High customer concentration",""),
    IF(AL11/AL10&lt;0.05,"Very low profitability",""),
    IF(AL19&lt;=-0.4,"Elevated country risk","")
  )="",
  "No major concentration risk",
  _xlfn.TEXTJOIN(" | ",TRUE,
    IF(AL14&gt;=60,"Very high customer concentration",""),
    IF(AND(AL14&lt;60,AL14&gt;=45),"High customer concentration",""),
    IF(AL11/AL10&lt;0.05,"Very low profitability",""),
    IF(AL19&lt;=-0.4,"Elevated country risk","")
  )
)</f>
        <v>#NAME?</v>
      </c>
      <c r="AM32" s="16" t="e">
        <f ca="1">IF(
  _xlfn.TEXTJOIN(" | ",TRUE,
    IF(AM14&gt;=60,"Very high customer concentration",""),
    IF(AND(AM14&lt;60,AM14&gt;=45),"High customer concentration",""),
    IF(AM11/AM10&lt;0.05,"Very low profitability",""),
    IF(AM19&lt;=-0.4,"Elevated country risk","")
  )="",
  "No major concentration risk",
  _xlfn.TEXTJOIN(" | ",TRUE,
    IF(AM14&gt;=60,"Very high customer concentration",""),
    IF(AND(AM14&lt;60,AM14&gt;=45),"High customer concentration",""),
    IF(AM11/AM10&lt;0.05,"Very low profitability",""),
    IF(AM19&lt;=-0.4,"Elevated country risk","")
  )
)</f>
        <v>#NAME?</v>
      </c>
      <c r="AN32" s="16" t="e">
        <f ca="1">IF(
  _xlfn.TEXTJOIN(" | ",TRUE,
    IF(AN14&gt;=60,"Very high customer concentration",""),
    IF(AND(AN14&lt;60,AN14&gt;=45),"High customer concentration",""),
    IF(AN11/AN10&lt;0.05,"Very low profitability",""),
    IF(AN19&lt;=-0.4,"Elevated country risk","")
  )="",
  "No major concentration risk",
  _xlfn.TEXTJOIN(" | ",TRUE,
    IF(AN14&gt;=60,"Very high customer concentration",""),
    IF(AND(AN14&lt;60,AN14&gt;=45),"High customer concentration",""),
    IF(AN11/AN10&lt;0.05,"Very low profitability",""),
    IF(AN19&lt;=-0.4,"Elevated country risk","")
  )
)</f>
        <v>#NAME?</v>
      </c>
      <c r="AO32" s="16" t="e">
        <f ca="1">IF(
  _xlfn.TEXTJOIN(" | ",TRUE,
    IF(AO14&gt;=60,"Very high customer concentration",""),
    IF(AND(AO14&lt;60,AO14&gt;=45),"High customer concentration",""),
    IF(AO11/AO10&lt;0.05,"Very low profitability",""),
    IF(AO19&lt;=-0.4,"Elevated country risk","")
  )="",
  "No major concentration risk",
  _xlfn.TEXTJOIN(" | ",TRUE,
    IF(AO14&gt;=60,"Very high customer concentration",""),
    IF(AND(AO14&lt;60,AO14&gt;=45),"High customer concentration",""),
    IF(AO11/AO10&lt;0.05,"Very low profitability",""),
    IF(AO19&lt;=-0.4,"Elevated country risk","")
  )
)</f>
        <v>#NAME?</v>
      </c>
      <c r="AP32" s="16" t="e">
        <f ca="1">IF(
  _xlfn.TEXTJOIN(" | ",TRUE,
    IF(AP14&gt;=60,"Very high customer concentration",""),
    IF(AND(AP14&lt;60,AP14&gt;=45),"High customer concentration",""),
    IF(AP11/AP10&lt;0.05,"Very low profitability",""),
    IF(AP19&lt;=-0.4,"Elevated country risk","")
  )="",
  "No major concentration risk",
  _xlfn.TEXTJOIN(" | ",TRUE,
    IF(AP14&gt;=60,"Very high customer concentration",""),
    IF(AND(AP14&lt;60,AP14&gt;=45),"High customer concentration",""),
    IF(AP11/AP10&lt;0.05,"Very low profitability",""),
    IF(AP19&lt;=-0.4,"Elevated country risk","")
  )
)</f>
        <v>#NAME?</v>
      </c>
      <c r="AQ32" s="16" t="e">
        <f ca="1">IF(
  _xlfn.TEXTJOIN(" | ",TRUE,
    IF(AQ14&gt;=60,"Very high customer concentration",""),
    IF(AND(AQ14&lt;60,AQ14&gt;=45),"High customer concentration",""),
    IF(AQ11/AQ10&lt;0.05,"Very low profitability",""),
    IF(AQ19&lt;=-0.4,"Elevated country risk","")
  )="",
  "No major concentration risk",
  _xlfn.TEXTJOIN(" | ",TRUE,
    IF(AQ14&gt;=60,"Very high customer concentration",""),
    IF(AND(AQ14&lt;60,AQ14&gt;=45),"High customer concentration",""),
    IF(AQ11/AQ10&lt;0.05,"Very low profitability",""),
    IF(AQ19&lt;=-0.4,"Elevated country risk","")
  )
)</f>
        <v>#NAME?</v>
      </c>
      <c r="AR32" s="16" t="e">
        <f ca="1">IF(
  _xlfn.TEXTJOIN(" | ",TRUE,
    IF(AR14&gt;=60,"Very high customer concentration",""),
    IF(AND(AR14&lt;60,AR14&gt;=45),"High customer concentration",""),
    IF(AR11/AR10&lt;0.05,"Very low profitability",""),
    IF(AR19&lt;=-0.4,"Elevated country risk","")
  )="",
  "No major concentration risk",
  _xlfn.TEXTJOIN(" | ",TRUE,
    IF(AR14&gt;=60,"Very high customer concentration",""),
    IF(AND(AR14&lt;60,AR14&gt;=45),"High customer concentration",""),
    IF(AR11/AR10&lt;0.05,"Very low profitability",""),
    IF(AR19&lt;=-0.4,"Elevated country risk","")
  )
)</f>
        <v>#NAME?</v>
      </c>
      <c r="AS32" s="16" t="e">
        <f ca="1">IF(
  _xlfn.TEXTJOIN(" | ",TRUE,
    IF(AS14&gt;=60,"Very high customer concentration",""),
    IF(AND(AS14&lt;60,AS14&gt;=45),"High customer concentration",""),
    IF(AS11/AS10&lt;0.05,"Very low profitability",""),
    IF(AS19&lt;=-0.4,"Elevated country risk","")
  )="",
  "No major concentration risk",
  _xlfn.TEXTJOIN(" | ",TRUE,
    IF(AS14&gt;=60,"Very high customer concentration",""),
    IF(AND(AS14&lt;60,AS14&gt;=45),"High customer concentration",""),
    IF(AS11/AS10&lt;0.05,"Very low profitability",""),
    IF(AS19&lt;=-0.4,"Elevated country risk","")
  )
)</f>
        <v>#NAME?</v>
      </c>
      <c r="AT32" s="16" t="e">
        <f ca="1">IF(
  _xlfn.TEXTJOIN(" | ",TRUE,
    IF(AT14&gt;=60,"Very high customer concentration",""),
    IF(AND(AT14&lt;60,AT14&gt;=45),"High customer concentration",""),
    IF(AT11/AT10&lt;0.05,"Very low profitability",""),
    IF(AT19&lt;=-0.4,"Elevated country risk","")
  )="",
  "No major concentration risk",
  _xlfn.TEXTJOIN(" | ",TRUE,
    IF(AT14&gt;=60,"Very high customer concentration",""),
    IF(AND(AT14&lt;60,AT14&gt;=45),"High customer concentration",""),
    IF(AT11/AT10&lt;0.05,"Very low profitability",""),
    IF(AT19&lt;=-0.4,"Elevated country risk","")
  )
)</f>
        <v>#NAME?</v>
      </c>
      <c r="AU32" s="16" t="e">
        <f ca="1">IF(
  _xlfn.TEXTJOIN(" | ",TRUE,
    IF(AU14&gt;=60,"Very high customer concentration",""),
    IF(AND(AU14&lt;60,AU14&gt;=45),"High customer concentration",""),
    IF(AU11/AU10&lt;0.05,"Very low profitability",""),
    IF(AU19&lt;=-0.4,"Elevated country risk","")
  )="",
  "No major concentration risk",
  _xlfn.TEXTJOIN(" | ",TRUE,
    IF(AU14&gt;=60,"Very high customer concentration",""),
    IF(AND(AU14&lt;60,AU14&gt;=45),"High customer concentration",""),
    IF(AU11/AU10&lt;0.05,"Very low profitability",""),
    IF(AU19&lt;=-0.4,"Elevated country risk","")
  )
)</f>
        <v>#NAME?</v>
      </c>
      <c r="AV32" s="16" t="e">
        <f ca="1">IF(
  _xlfn.TEXTJOIN(" | ",TRUE,
    IF(AV14&gt;=60,"Very high customer concentration",""),
    IF(AND(AV14&lt;60,AV14&gt;=45),"High customer concentration",""),
    IF(AV11/AV10&lt;0.05,"Very low profitability",""),
    IF(AV19&lt;=-0.4,"Elevated country risk","")
  )="",
  "No major concentration risk",
  _xlfn.TEXTJOIN(" | ",TRUE,
    IF(AV14&gt;=60,"Very high customer concentration",""),
    IF(AND(AV14&lt;60,AV14&gt;=45),"High customer concentration",""),
    IF(AV11/AV10&lt;0.05,"Very low profitability",""),
    IF(AV19&lt;=-0.4,"Elevated country risk","")
  )
)</f>
        <v>#NAME?</v>
      </c>
      <c r="AW32" s="16" t="e">
        <f ca="1">IF(
  _xlfn.TEXTJOIN(" | ",TRUE,
    IF(AW14&gt;=60,"Very high customer concentration",""),
    IF(AND(AW14&lt;60,AW14&gt;=45),"High customer concentration",""),
    IF(AW11/AW10&lt;0.05,"Very low profitability",""),
    IF(AW19&lt;=-0.4,"Elevated country risk","")
  )="",
  "No major concentration risk",
  _xlfn.TEXTJOIN(" | ",TRUE,
    IF(AW14&gt;=60,"Very high customer concentration",""),
    IF(AND(AW14&lt;60,AW14&gt;=45),"High customer concentration",""),
    IF(AW11/AW10&lt;0.05,"Very low profitability",""),
    IF(AW19&lt;=-0.4,"Elevated country risk","")
  )
)</f>
        <v>#NAME?</v>
      </c>
      <c r="AX32" s="16" t="e">
        <f ca="1">IF(
  _xlfn.TEXTJOIN(" | ",TRUE,
    IF(AX14&gt;=60,"Very high customer concentration",""),
    IF(AND(AX14&lt;60,AX14&gt;=45),"High customer concentration",""),
    IF(AX11/AX10&lt;0.05,"Very low profitability",""),
    IF(AX19&lt;=-0.4,"Elevated country risk","")
  )="",
  "No major concentration risk",
  _xlfn.TEXTJOIN(" | ",TRUE,
    IF(AX14&gt;=60,"Very high customer concentration",""),
    IF(AND(AX14&lt;60,AX14&gt;=45),"High customer concentration",""),
    IF(AX11/AX10&lt;0.05,"Very low profitability",""),
    IF(AX19&lt;=-0.4,"Elevated country risk","")
  )
)</f>
        <v>#NAME?</v>
      </c>
      <c r="AY32" s="16" t="e">
        <f ca="1">IF(
  _xlfn.TEXTJOIN(" | ",TRUE,
    IF(AY14&gt;=60,"Very high customer concentration",""),
    IF(AND(AY14&lt;60,AY14&gt;=45),"High customer concentration",""),
    IF(AY11/AY10&lt;0.05,"Very low profitability",""),
    IF(AY19&lt;=-0.4,"Elevated country risk","")
  )="",
  "No major concentration risk",
  _xlfn.TEXTJOIN(" | ",TRUE,
    IF(AY14&gt;=60,"Very high customer concentration",""),
    IF(AND(AY14&lt;60,AY14&gt;=45),"High customer concentration",""),
    IF(AY11/AY10&lt;0.05,"Very low profitability",""),
    IF(AY19&lt;=-0.4,"Elevated country risk","")
  )
)</f>
        <v>#NAME?</v>
      </c>
      <c r="AZ32" s="16" t="e">
        <f ca="1">IF(
  _xlfn.TEXTJOIN(" | ",TRUE,
    IF(AZ14&gt;=60,"Very high customer concentration",""),
    IF(AND(AZ14&lt;60,AZ14&gt;=45),"High customer concentration",""),
    IF(AZ11/AZ10&lt;0.05,"Very low profitability",""),
    IF(AZ19&lt;=-0.4,"Elevated country risk","")
  )="",
  "No major concentration risk",
  _xlfn.TEXTJOIN(" | ",TRUE,
    IF(AZ14&gt;=60,"Very high customer concentration",""),
    IF(AND(AZ14&lt;60,AZ14&gt;=45),"High customer concentration",""),
    IF(AZ11/AZ10&lt;0.05,"Very low profitability",""),
    IF(AZ19&lt;=-0.4,"Elevated country risk","")
  )
)</f>
        <v>#NAME?</v>
      </c>
      <c r="BA32" s="16" t="e">
        <f ca="1">IF(
  _xlfn.TEXTJOIN(" | ",TRUE,
    IF(BA14&gt;=60,"Very high customer concentration",""),
    IF(AND(BA14&lt;60,BA14&gt;=45),"High customer concentration",""),
    IF(BA11/BA10&lt;0.05,"Very low profitability",""),
    IF(BA19&lt;=-0.4,"Elevated country risk","")
  )="",
  "No major concentration risk",
  _xlfn.TEXTJOIN(" | ",TRUE,
    IF(BA14&gt;=60,"Very high customer concentration",""),
    IF(AND(BA14&lt;60,BA14&gt;=45),"High customer concentration",""),
    IF(BA11/BA10&lt;0.05,"Very low profitability",""),
    IF(BA19&lt;=-0.4,"Elevated country risk","")
  )
)</f>
        <v>#NAME?</v>
      </c>
      <c r="BB32" s="16" t="e">
        <f ca="1">IF(
  _xlfn.TEXTJOIN(" | ",TRUE,
    IF(BB14&gt;=60,"Very high customer concentration",""),
    IF(AND(BB14&lt;60,BB14&gt;=45),"High customer concentration",""),
    IF(BB11/BB10&lt;0.05,"Very low profitability",""),
    IF(BB19&lt;=-0.4,"Elevated country risk","")
  )="",
  "No major concentration risk",
  _xlfn.TEXTJOIN(" | ",TRUE,
    IF(BB14&gt;=60,"Very high customer concentration",""),
    IF(AND(BB14&lt;60,BB14&gt;=45),"High customer concentration",""),
    IF(BB11/BB10&lt;0.05,"Very low profitability",""),
    IF(BB19&lt;=-0.4,"Elevated country risk","")
  )
)</f>
        <v>#NAME?</v>
      </c>
      <c r="BC32" s="16" t="e">
        <f ca="1">IF(
  _xlfn.TEXTJOIN(" | ",TRUE,
    IF(BC14&gt;=60,"Very high customer concentration",""),
    IF(AND(BC14&lt;60,BC14&gt;=45),"High customer concentration",""),
    IF(BC11/BC10&lt;0.05,"Very low profitability",""),
    IF(BC19&lt;=-0.4,"Elevated country risk","")
  )="",
  "No major concentration risk",
  _xlfn.TEXTJOIN(" | ",TRUE,
    IF(BC14&gt;=60,"Very high customer concentration",""),
    IF(AND(BC14&lt;60,BC14&gt;=45),"High customer concentration",""),
    IF(BC11/BC10&lt;0.05,"Very low profitability",""),
    IF(BC19&lt;=-0.4,"Elevated country risk","")
  )
)</f>
        <v>#NAME?</v>
      </c>
      <c r="BD32" s="16" t="e">
        <f ca="1">IF(
  _xlfn.TEXTJOIN(" | ",TRUE,
    IF(BD14&gt;=60,"Very high customer concentration",""),
    IF(AND(BD14&lt;60,BD14&gt;=45),"High customer concentration",""),
    IF(BD11/BD10&lt;0.05,"Very low profitability",""),
    IF(BD19&lt;=-0.4,"Elevated country risk","")
  )="",
  "No major concentration risk",
  _xlfn.TEXTJOIN(" | ",TRUE,
    IF(BD14&gt;=60,"Very high customer concentration",""),
    IF(AND(BD14&lt;60,BD14&gt;=45),"High customer concentration",""),
    IF(BD11/BD10&lt;0.05,"Very low profitability",""),
    IF(BD19&lt;=-0.4,"Elevated country risk","")
  )
)</f>
        <v>#NAME?</v>
      </c>
      <c r="BE32" s="16" t="e">
        <f ca="1">IF(
  _xlfn.TEXTJOIN(" | ",TRUE,
    IF(BE14&gt;=60,"Very high customer concentration",""),
    IF(AND(BE14&lt;60,BE14&gt;=45),"High customer concentration",""),
    IF(BE11/BE10&lt;0.05,"Very low profitability",""),
    IF(BE19&lt;=-0.4,"Elevated country risk","")
  )="",
  "No major concentration risk",
  _xlfn.TEXTJOIN(" | ",TRUE,
    IF(BE14&gt;=60,"Very high customer concentration",""),
    IF(AND(BE14&lt;60,BE14&gt;=45),"High customer concentration",""),
    IF(BE11/BE10&lt;0.05,"Very low profitability",""),
    IF(BE19&lt;=-0.4,"Elevated country risk","")
  )
)</f>
        <v>#NAME?</v>
      </c>
      <c r="BF32" s="16" t="e">
        <f ca="1">IF(
  _xlfn.TEXTJOIN(" | ",TRUE,
    IF(BF14&gt;=60,"Very high customer concentration",""),
    IF(AND(BF14&lt;60,BF14&gt;=45),"High customer concentration",""),
    IF(BF11/BF10&lt;0.05,"Very low profitability",""),
    IF(BF19&lt;=-0.4,"Elevated country risk","")
  )="",
  "No major concentration risk",
  _xlfn.TEXTJOIN(" | ",TRUE,
    IF(BF14&gt;=60,"Very high customer concentration",""),
    IF(AND(BF14&lt;60,BF14&gt;=45),"High customer concentration",""),
    IF(BF11/BF10&lt;0.05,"Very low profitability",""),
    IF(BF19&lt;=-0.4,"Elevated country risk","")
  )
)</f>
        <v>#NAME?</v>
      </c>
      <c r="BG32" s="16" t="e">
        <f ca="1">IF(
  _xlfn.TEXTJOIN(" | ",TRUE,
    IF(BG14&gt;=60,"Very high customer concentration",""),
    IF(AND(BG14&lt;60,BG14&gt;=45),"High customer concentration",""),
    IF(BG11/BG10&lt;0.05,"Very low profitability",""),
    IF(BG19&lt;=-0.4,"Elevated country risk","")
  )="",
  "No major concentration risk",
  _xlfn.TEXTJOIN(" | ",TRUE,
    IF(BG14&gt;=60,"Very high customer concentration",""),
    IF(AND(BG14&lt;60,BG14&gt;=45),"High customer concentration",""),
    IF(BG11/BG10&lt;0.05,"Very low profitability",""),
    IF(BG19&lt;=-0.4,"Elevated country risk","")
  )
)</f>
        <v>#NAME?</v>
      </c>
      <c r="BH32" s="16" t="e">
        <f ca="1">IF(
  _xlfn.TEXTJOIN(" | ",TRUE,
    IF(BH14&gt;=60,"Very high customer concentration",""),
    IF(AND(BH14&lt;60,BH14&gt;=45),"High customer concentration",""),
    IF(BH11/BH10&lt;0.05,"Very low profitability",""),
    IF(BH19&lt;=-0.4,"Elevated country risk","")
  )="",
  "No major concentration risk",
  _xlfn.TEXTJOIN(" | ",TRUE,
    IF(BH14&gt;=60,"Very high customer concentration",""),
    IF(AND(BH14&lt;60,BH14&gt;=45),"High customer concentration",""),
    IF(BH11/BH10&lt;0.05,"Very low profitability",""),
    IF(BH19&lt;=-0.4,"Elevated country risk","")
  )
)</f>
        <v>#NAME?</v>
      </c>
      <c r="BI32" s="16" t="e">
        <f ca="1">IF(
  _xlfn.TEXTJOIN(" | ",TRUE,
    IF(BI14&gt;=60,"Very high customer concentration",""),
    IF(AND(BI14&lt;60,BI14&gt;=45),"High customer concentration",""),
    IF(BI11/BI10&lt;0.05,"Very low profitability",""),
    IF(BI19&lt;=-0.4,"Elevated country risk","")
  )="",
  "No major concentration risk",
  _xlfn.TEXTJOIN(" | ",TRUE,
    IF(BI14&gt;=60,"Very high customer concentration",""),
    IF(AND(BI14&lt;60,BI14&gt;=45),"High customer concentration",""),
    IF(BI11/BI10&lt;0.05,"Very low profitability",""),
    IF(BI19&lt;=-0.4,"Elevated country risk","")
  )
)</f>
        <v>#NAME?</v>
      </c>
      <c r="BJ32" s="17"/>
      <c r="BK32" s="18" t="s">
        <v>74</v>
      </c>
    </row>
    <row r="33" spans="1:63">
      <c r="A33" s="10" t="s">
        <v>0</v>
      </c>
      <c r="B33" s="1" t="str">
        <f>IF(OR(B10&lt;=0,B11&lt;0,B14&gt;100,B14&lt;0),
   "FAIL",
   IF(OR(B11/B10&lt;0.03,B11/B10&gt;0.45,IF(B13&gt;0,B10/B13,9999999)&lt;50000,IF(B13&gt;0,B10/B13,9999999)&gt;2500000),
      "REVIEW",
      "PASS"))</f>
        <v>PASS</v>
      </c>
      <c r="C33" s="1" t="str">
        <f t="shared" ref="C33:BI33" si="8">IF(OR(C10&lt;=0,C11&lt;0,C14&gt;100,C14&lt;0),
   "FAIL",
   IF(OR(C11/C10&lt;0.03,C11/C10&gt;0.45,IF(C13&gt;0,C10/C13,9999999)&lt;50000,IF(C13&gt;0,C10/C13,9999999)&gt;2500000),
      "REVIEW",
      "PASS"))</f>
        <v>PASS</v>
      </c>
      <c r="D33" s="1" t="str">
        <f t="shared" si="8"/>
        <v>PASS</v>
      </c>
      <c r="E33" s="1" t="str">
        <f t="shared" si="8"/>
        <v>PASS</v>
      </c>
      <c r="F33" s="1" t="str">
        <f t="shared" si="8"/>
        <v>PASS</v>
      </c>
      <c r="G33" s="1" t="str">
        <f t="shared" si="8"/>
        <v>PASS</v>
      </c>
      <c r="H33" s="1" t="str">
        <f t="shared" si="8"/>
        <v>PASS</v>
      </c>
      <c r="I33" s="1" t="str">
        <f t="shared" si="8"/>
        <v>PASS</v>
      </c>
      <c r="J33" s="1" t="str">
        <f t="shared" si="8"/>
        <v>PASS</v>
      </c>
      <c r="K33" s="1" t="str">
        <f t="shared" si="8"/>
        <v>PASS</v>
      </c>
      <c r="L33" s="1" t="str">
        <f t="shared" si="8"/>
        <v>PASS</v>
      </c>
      <c r="M33" s="1" t="str">
        <f t="shared" si="8"/>
        <v>PASS</v>
      </c>
      <c r="N33" s="1" t="str">
        <f t="shared" si="8"/>
        <v>PASS</v>
      </c>
      <c r="O33" s="1" t="str">
        <f t="shared" si="8"/>
        <v>PASS</v>
      </c>
      <c r="P33" s="1" t="str">
        <f t="shared" si="8"/>
        <v>PASS</v>
      </c>
      <c r="Q33" s="1" t="str">
        <f t="shared" si="8"/>
        <v>PASS</v>
      </c>
      <c r="R33" s="1" t="str">
        <f t="shared" si="8"/>
        <v>PASS</v>
      </c>
      <c r="S33" s="1" t="str">
        <f t="shared" si="8"/>
        <v>PASS</v>
      </c>
      <c r="T33" s="1" t="str">
        <f t="shared" si="8"/>
        <v>PASS</v>
      </c>
      <c r="U33" s="1" t="str">
        <f t="shared" si="8"/>
        <v>PASS</v>
      </c>
      <c r="V33" s="1" t="str">
        <f t="shared" si="8"/>
        <v>PASS</v>
      </c>
      <c r="W33" s="1" t="str">
        <f t="shared" si="8"/>
        <v>PASS</v>
      </c>
      <c r="X33" s="1" t="str">
        <f t="shared" si="8"/>
        <v>PASS</v>
      </c>
      <c r="Y33" s="1" t="str">
        <f t="shared" si="8"/>
        <v>PASS</v>
      </c>
      <c r="Z33" s="1" t="str">
        <f t="shared" si="8"/>
        <v>REVIEW</v>
      </c>
      <c r="AA33" s="1" t="str">
        <f t="shared" si="8"/>
        <v>PASS</v>
      </c>
      <c r="AB33" s="1" t="str">
        <f t="shared" si="8"/>
        <v>PASS</v>
      </c>
      <c r="AC33" s="1" t="str">
        <f t="shared" si="8"/>
        <v>PASS</v>
      </c>
      <c r="AD33" s="1" t="str">
        <f t="shared" si="8"/>
        <v>FAIL</v>
      </c>
      <c r="AE33" s="1" t="str">
        <f t="shared" si="8"/>
        <v>PASS</v>
      </c>
      <c r="AF33" s="1" t="str">
        <f t="shared" si="8"/>
        <v>PASS</v>
      </c>
      <c r="AG33" s="1" t="str">
        <f t="shared" si="8"/>
        <v>PASS</v>
      </c>
      <c r="AH33" s="1" t="str">
        <f t="shared" si="8"/>
        <v>PASS</v>
      </c>
      <c r="AI33" s="1" t="str">
        <f t="shared" si="8"/>
        <v>PASS</v>
      </c>
      <c r="AJ33" s="1" t="str">
        <f t="shared" si="8"/>
        <v>PASS</v>
      </c>
      <c r="AK33" s="1" t="str">
        <f t="shared" si="8"/>
        <v>PASS</v>
      </c>
      <c r="AL33" s="1" t="str">
        <f t="shared" si="8"/>
        <v>PASS</v>
      </c>
      <c r="AM33" s="1" t="str">
        <f t="shared" si="8"/>
        <v>PASS</v>
      </c>
      <c r="AN33" s="1" t="str">
        <f t="shared" si="8"/>
        <v>PASS</v>
      </c>
      <c r="AO33" s="1" t="str">
        <f t="shared" si="8"/>
        <v>PASS</v>
      </c>
      <c r="AP33" s="1" t="str">
        <f t="shared" si="8"/>
        <v>PASS</v>
      </c>
      <c r="AQ33" s="1" t="str">
        <f t="shared" si="8"/>
        <v>PASS</v>
      </c>
      <c r="AR33" s="1" t="str">
        <f t="shared" si="8"/>
        <v>PASS</v>
      </c>
      <c r="AS33" s="1" t="str">
        <f t="shared" si="8"/>
        <v>PASS</v>
      </c>
      <c r="AT33" s="1" t="str">
        <f t="shared" si="8"/>
        <v>PASS</v>
      </c>
      <c r="AU33" s="1" t="str">
        <f t="shared" si="8"/>
        <v>PASS</v>
      </c>
      <c r="AV33" s="1" t="str">
        <f t="shared" si="8"/>
        <v>PASS</v>
      </c>
      <c r="AW33" s="1" t="str">
        <f t="shared" si="8"/>
        <v>PASS</v>
      </c>
      <c r="AX33" s="1" t="str">
        <f t="shared" si="8"/>
        <v>PASS</v>
      </c>
      <c r="AY33" s="1" t="str">
        <f t="shared" si="8"/>
        <v>PASS</v>
      </c>
      <c r="AZ33" s="1" t="str">
        <f t="shared" si="8"/>
        <v>PASS</v>
      </c>
      <c r="BA33" s="1" t="str">
        <f t="shared" si="8"/>
        <v>PASS</v>
      </c>
      <c r="BB33" s="1" t="str">
        <f t="shared" si="8"/>
        <v>PASS</v>
      </c>
      <c r="BC33" s="1" t="str">
        <f t="shared" si="8"/>
        <v>PASS</v>
      </c>
      <c r="BD33" s="1" t="str">
        <f t="shared" si="8"/>
        <v>FAIL</v>
      </c>
      <c r="BE33" s="1" t="str">
        <f t="shared" si="8"/>
        <v>PASS</v>
      </c>
      <c r="BF33" s="1" t="str">
        <f t="shared" si="8"/>
        <v>PASS</v>
      </c>
      <c r="BG33" s="1" t="str">
        <f t="shared" si="8"/>
        <v>FAIL</v>
      </c>
      <c r="BH33" s="1" t="str">
        <f t="shared" si="8"/>
        <v>PASS</v>
      </c>
      <c r="BI33" s="1" t="str">
        <f t="shared" si="8"/>
        <v>PASS</v>
      </c>
      <c r="BJ33" s="17"/>
      <c r="BK33" s="18" t="s">
        <v>73</v>
      </c>
    </row>
    <row r="34" spans="1:63">
      <c r="A34" s="10" t="s">
        <v>71</v>
      </c>
      <c r="B34" s="1">
        <f>MAX(0,MIN(100,ROUND(
100*(
0.3*
IF(B10&gt;0,
  IF(B11/B10&lt;=0,0,
   IF(B11/B10&lt;=0.05,0.2*(B11/B10/0.05),
    IF(B11/B10&lt;=0.15,0.2+0.4*((B11/B10-0.05)/0.1),
     IF(B11/B10&lt;=0.25,0.6+0.3*((B11/B10-0.15)/0.1),
      IF(B11/B10&gt;=0.3,1,0.9+0.1*((B11/B10-0.25)/0.05))
     )
    )
   )
  ),0)
+
0.25*
IF(B14&gt;=60,0,
 IF(B14&gt;=45,0.3+(0-0.3)*((B14-45)/15),
  IF(B14&gt;=30,0.7+(0.3-0.7)*((B14-30)/15),1)
 )
)
+
0.25*
IF(B10*B15&lt;5000000,0.2,
 IF(B10*B15&lt;15000000,0.5,
  IF(B10*B15&lt;50000000,0.7,
   IF(B10*B15&lt;100000000,0.9,1)
  )
 )
)
+
0.2*
IF(B18&lt;=-0.3,0.2,
 IF(B18&lt;0,0.2+(0.6-0.2)*((B18+0.3)/0.3),
  IF(B18&lt;0.2,0.6+(0.8-0.6)*(B18/0.2),
   IF(B18&gt;=0.4,1,0.8+(1-0.8)*((B18-0.2)/0.2))
  )
 )
)
),0)))</f>
        <v>76</v>
      </c>
      <c r="C34" s="1">
        <f t="shared" ref="C34:BI34" si="9">MAX(0,MIN(100,ROUND(
100*(
0.3*
IF(C10&gt;0,
  IF(C11/C10&lt;=0,0,
   IF(C11/C10&lt;=0.05,0.2*(C11/C10/0.05),
    IF(C11/C10&lt;=0.15,0.2+0.4*((C11/C10-0.05)/0.1),
     IF(C11/C10&lt;=0.25,0.6+0.3*((C11/C10-0.15)/0.1),
      IF(C11/C10&gt;=0.3,1,0.9+0.1*((C11/C10-0.25)/0.05))
     )
    )
   )
  ),0)
+
0.25*
IF(C14&gt;=60,0,
 IF(C14&gt;=45,0.3+(0-0.3)*((C14-45)/15),
  IF(C14&gt;=30,0.7+(0.3-0.7)*((C14-30)/15),1)
 )
)
+
0.25*
IF(C10*C15&lt;5000000,0.2,
 IF(C10*C15&lt;15000000,0.5,
  IF(C10*C15&lt;50000000,0.7,
   IF(C10*C15&lt;100000000,0.9,1)
  )
 )
)
+
0.2*
IF(C18&lt;=-0.3,0.2,
 IF(C18&lt;0,0.2+(0.6-0.2)*((C18+0.3)/0.3),
  IF(C18&lt;0.2,0.6+(0.8-0.6)*(C18/0.2),
   IF(C18&gt;=0.4,1,0.8+(1-0.8)*((C18-0.2)/0.2))
  )
 )
)
),0)))</f>
        <v>80</v>
      </c>
      <c r="D34" s="1">
        <f t="shared" si="9"/>
        <v>49</v>
      </c>
      <c r="E34" s="1">
        <f t="shared" si="9"/>
        <v>63</v>
      </c>
      <c r="F34" s="1">
        <f t="shared" si="9"/>
        <v>64</v>
      </c>
      <c r="G34" s="1">
        <f t="shared" si="9"/>
        <v>45</v>
      </c>
      <c r="H34" s="1">
        <f t="shared" si="9"/>
        <v>66</v>
      </c>
      <c r="I34" s="1">
        <f t="shared" si="9"/>
        <v>67</v>
      </c>
      <c r="J34" s="1">
        <f t="shared" si="9"/>
        <v>57</v>
      </c>
      <c r="K34" s="1">
        <f t="shared" si="9"/>
        <v>48</v>
      </c>
      <c r="L34" s="1">
        <f t="shared" si="9"/>
        <v>70</v>
      </c>
      <c r="M34" s="1">
        <f t="shared" si="9"/>
        <v>54</v>
      </c>
      <c r="N34" s="1">
        <f t="shared" si="9"/>
        <v>53</v>
      </c>
      <c r="O34" s="1">
        <f t="shared" si="9"/>
        <v>73</v>
      </c>
      <c r="P34" s="1">
        <f t="shared" si="9"/>
        <v>63</v>
      </c>
      <c r="Q34" s="1">
        <f t="shared" si="9"/>
        <v>54</v>
      </c>
      <c r="R34" s="1">
        <f t="shared" si="9"/>
        <v>64</v>
      </c>
      <c r="S34" s="1">
        <f t="shared" si="9"/>
        <v>48</v>
      </c>
      <c r="T34" s="1">
        <f t="shared" si="9"/>
        <v>79</v>
      </c>
      <c r="U34" s="1">
        <f t="shared" si="9"/>
        <v>39</v>
      </c>
      <c r="V34" s="1">
        <f t="shared" si="9"/>
        <v>55</v>
      </c>
      <c r="W34" s="1">
        <f t="shared" si="9"/>
        <v>60</v>
      </c>
      <c r="X34" s="1">
        <f t="shared" si="9"/>
        <v>55</v>
      </c>
      <c r="Y34" s="1">
        <f t="shared" si="9"/>
        <v>39</v>
      </c>
      <c r="Z34" s="1">
        <f t="shared" si="9"/>
        <v>37</v>
      </c>
      <c r="AA34" s="1">
        <f t="shared" si="9"/>
        <v>64</v>
      </c>
      <c r="AB34" s="1">
        <f t="shared" si="9"/>
        <v>69</v>
      </c>
      <c r="AC34" s="1">
        <f t="shared" si="9"/>
        <v>80</v>
      </c>
      <c r="AD34" s="1">
        <f t="shared" si="9"/>
        <v>33</v>
      </c>
      <c r="AE34" s="1">
        <f t="shared" si="9"/>
        <v>62</v>
      </c>
      <c r="AF34" s="1">
        <f t="shared" si="9"/>
        <v>56</v>
      </c>
      <c r="AG34" s="1">
        <f t="shared" si="9"/>
        <v>65</v>
      </c>
      <c r="AH34" s="1">
        <f t="shared" si="9"/>
        <v>63</v>
      </c>
      <c r="AI34" s="1">
        <f t="shared" si="9"/>
        <v>74</v>
      </c>
      <c r="AJ34" s="1">
        <f t="shared" si="9"/>
        <v>48</v>
      </c>
      <c r="AK34" s="1">
        <f t="shared" si="9"/>
        <v>54</v>
      </c>
      <c r="AL34" s="1">
        <f t="shared" si="9"/>
        <v>51</v>
      </c>
      <c r="AM34" s="1">
        <f t="shared" si="9"/>
        <v>64</v>
      </c>
      <c r="AN34" s="1">
        <f t="shared" si="9"/>
        <v>60</v>
      </c>
      <c r="AO34" s="1">
        <f t="shared" si="9"/>
        <v>46</v>
      </c>
      <c r="AP34" s="1">
        <f t="shared" si="9"/>
        <v>46</v>
      </c>
      <c r="AQ34" s="1">
        <f t="shared" si="9"/>
        <v>39</v>
      </c>
      <c r="AR34" s="1">
        <f t="shared" si="9"/>
        <v>48</v>
      </c>
      <c r="AS34" s="1">
        <f t="shared" si="9"/>
        <v>54</v>
      </c>
      <c r="AT34" s="1">
        <f t="shared" si="9"/>
        <v>50</v>
      </c>
      <c r="AU34" s="1">
        <f t="shared" si="9"/>
        <v>68</v>
      </c>
      <c r="AV34" s="1">
        <f t="shared" si="9"/>
        <v>80</v>
      </c>
      <c r="AW34" s="1">
        <f t="shared" si="9"/>
        <v>64</v>
      </c>
      <c r="AX34" s="1">
        <f t="shared" si="9"/>
        <v>53</v>
      </c>
      <c r="AY34" s="1">
        <f t="shared" si="9"/>
        <v>73</v>
      </c>
      <c r="AZ34" s="1">
        <f t="shared" si="9"/>
        <v>80</v>
      </c>
      <c r="BA34" s="1">
        <f t="shared" si="9"/>
        <v>56</v>
      </c>
      <c r="BB34" s="1">
        <f t="shared" si="9"/>
        <v>46</v>
      </c>
      <c r="BC34" s="1">
        <f t="shared" si="9"/>
        <v>44</v>
      </c>
      <c r="BD34" s="1">
        <f t="shared" si="9"/>
        <v>30</v>
      </c>
      <c r="BE34" s="1">
        <f t="shared" si="9"/>
        <v>44</v>
      </c>
      <c r="BF34" s="1">
        <f t="shared" si="9"/>
        <v>80</v>
      </c>
      <c r="BG34" s="1">
        <f t="shared" si="9"/>
        <v>28</v>
      </c>
      <c r="BH34" s="1">
        <f t="shared" si="9"/>
        <v>40</v>
      </c>
      <c r="BI34" s="1">
        <f t="shared" si="9"/>
        <v>60</v>
      </c>
      <c r="BK34" s="18" t="s">
        <v>75</v>
      </c>
    </row>
  </sheetData>
  <conditionalFormatting sqref="B32:BI32">
    <cfRule type="containsText" dxfId="8" priority="5" operator="containsText" text="High">
      <formula>NOT(ISERROR(SEARCH("High",B32)))</formula>
    </cfRule>
  </conditionalFormatting>
  <conditionalFormatting sqref="B33:BI33">
    <cfRule type="cellIs" dxfId="7" priority="6" operator="equal">
      <formula>"PASS"</formula>
    </cfRule>
    <cfRule type="cellIs" dxfId="6" priority="7" operator="equal">
      <formula>"FAIL"</formula>
    </cfRule>
    <cfRule type="cellIs" dxfId="5" priority="8" operator="equal">
      <formula>"REVIEW"</formula>
    </cfRule>
    <cfRule type="cellIs" dxfId="4" priority="9" operator="equal">
      <formula>"PASS"</formula>
    </cfRule>
  </conditionalFormatting>
  <conditionalFormatting sqref="B34:BI34">
    <cfRule type="cellIs" dxfId="3" priority="1" operator="greaterThan">
      <formula>84</formula>
    </cfRule>
    <cfRule type="cellIs" dxfId="2" priority="2" operator="between">
      <formula>70</formula>
      <formula>84</formula>
    </cfRule>
    <cfRule type="cellIs" dxfId="1" priority="3" operator="between">
      <formula>50</formula>
      <formula>69</formula>
    </cfRule>
    <cfRule type="cellIs" dxfId="0" priority="4" operator="lessThan">
      <formula>50</formula>
    </cfRule>
  </conditionalFormatting>
  <dataValidations count="1">
    <dataValidation type="whole" operator="greaterThan" allowBlank="1" showInputMessage="1" showErrorMessage="1" sqref="B13:BI13">
      <formula1>0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'[1]Reference Data sheet'!#REF!</xm:f>
          </x14:formula1>
          <xm:sqref>B8:BI8</xm:sqref>
        </x14:dataValidation>
        <x14:dataValidation type="list" allowBlank="1" showInputMessage="1" showErrorMessage="1">
          <x14:formula1>
            <xm:f>'Reference Data sheet'!$B$182:$B$191</xm:f>
          </x14:formula1>
          <xm:sqref>B9:BI9</xm:sqref>
        </x14:dataValidation>
        <x14:dataValidation type="list" allowBlank="1" showInputMessage="1" showErrorMessage="1">
          <x14:formula1>
            <xm:f>'Reference Data sheet'!$B$217:$B$221</xm:f>
          </x14:formula1>
          <xm:sqref>B12:BI12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9"/>
  <sheetViews>
    <sheetView showGridLines="0" tabSelected="1" workbookViewId="0"/>
  </sheetViews>
  <sheetFormatPr defaultColWidth="8.19921875" defaultRowHeight="13.8"/>
  <cols>
    <col min="1" max="1" width="8.19921875" style="25"/>
    <col min="2" max="2" width="10.19921875" style="25" customWidth="1"/>
    <col min="3" max="3" width="49.296875" style="25" bestFit="1" customWidth="1"/>
    <col min="4" max="4" width="34.69921875" style="25" bestFit="1" customWidth="1"/>
    <col min="5" max="5" width="18.3984375" style="25" bestFit="1" customWidth="1"/>
    <col min="6" max="6" width="31.5" style="25" bestFit="1" customWidth="1"/>
    <col min="7" max="7" width="38" style="25" bestFit="1" customWidth="1"/>
    <col min="8" max="8" width="31" style="25" bestFit="1" customWidth="1"/>
    <col min="9" max="9" width="16" style="25" bestFit="1" customWidth="1"/>
    <col min="10" max="10" width="18.59765625" style="25" bestFit="1" customWidth="1"/>
    <col min="11" max="11" width="13.09765625" style="25" bestFit="1" customWidth="1"/>
    <col min="12" max="12" width="7.796875" style="25" customWidth="1"/>
    <col min="13" max="13" width="5.09765625" style="25" customWidth="1"/>
    <col min="14" max="16384" width="8.19921875" style="25"/>
  </cols>
  <sheetData>
    <row r="1" spans="2:13">
      <c r="B1" s="22"/>
      <c r="C1" s="23"/>
      <c r="D1" s="23"/>
      <c r="E1" s="24"/>
      <c r="F1" s="24"/>
      <c r="G1" s="24"/>
      <c r="H1" s="24"/>
    </row>
    <row r="2" spans="2:13">
      <c r="B2" s="26"/>
      <c r="C2" s="27"/>
      <c r="D2" s="27"/>
      <c r="E2" s="28"/>
      <c r="F2" s="28"/>
      <c r="G2" s="28"/>
      <c r="H2" s="28"/>
    </row>
    <row r="3" spans="2:13" ht="14.4">
      <c r="B3" s="29" t="s">
        <v>136</v>
      </c>
      <c r="C3" s="29" t="s">
        <v>137</v>
      </c>
      <c r="D3" s="29" t="s">
        <v>138</v>
      </c>
      <c r="E3" s="29" t="s">
        <v>139</v>
      </c>
      <c r="F3" s="29" t="s">
        <v>140</v>
      </c>
      <c r="G3" s="29" t="s">
        <v>141</v>
      </c>
      <c r="H3" s="30" t="s">
        <v>142</v>
      </c>
      <c r="I3" s="30" t="s">
        <v>143</v>
      </c>
      <c r="J3" s="30" t="s">
        <v>144</v>
      </c>
      <c r="K3" s="30" t="s">
        <v>145</v>
      </c>
      <c r="L3" s="30" t="s">
        <v>146</v>
      </c>
      <c r="M3" s="30" t="s">
        <v>147</v>
      </c>
    </row>
    <row r="4" spans="2:13" ht="14.4">
      <c r="B4" s="31" t="s">
        <v>148</v>
      </c>
      <c r="C4" s="31" t="s">
        <v>149</v>
      </c>
      <c r="D4" s="31" t="s">
        <v>150</v>
      </c>
      <c r="E4" s="31" t="s">
        <v>151</v>
      </c>
      <c r="F4" s="31" t="s">
        <v>152</v>
      </c>
      <c r="G4" s="31" t="s">
        <v>153</v>
      </c>
      <c r="H4" s="32" t="s">
        <v>152</v>
      </c>
      <c r="I4" s="32">
        <v>17.5</v>
      </c>
      <c r="J4" s="32">
        <v>32.5</v>
      </c>
      <c r="K4" s="32">
        <v>17.5</v>
      </c>
      <c r="L4" s="32">
        <v>10</v>
      </c>
      <c r="M4" s="32">
        <v>85</v>
      </c>
    </row>
    <row r="5" spans="2:13" ht="14.4">
      <c r="B5" s="31" t="s">
        <v>148</v>
      </c>
      <c r="C5" s="31" t="s">
        <v>149</v>
      </c>
      <c r="D5" s="31" t="s">
        <v>150</v>
      </c>
      <c r="E5" s="31" t="s">
        <v>154</v>
      </c>
      <c r="F5" s="31" t="s">
        <v>155</v>
      </c>
      <c r="G5" s="31" t="s">
        <v>156</v>
      </c>
      <c r="H5" s="32" t="s">
        <v>155</v>
      </c>
      <c r="I5" s="32">
        <v>15</v>
      </c>
      <c r="J5" s="32">
        <v>28.5</v>
      </c>
      <c r="K5" s="32">
        <v>21.5</v>
      </c>
      <c r="L5" s="32">
        <v>12</v>
      </c>
      <c r="M5" s="32">
        <v>82</v>
      </c>
    </row>
    <row r="6" spans="2:13" ht="14.4">
      <c r="B6" s="31" t="s">
        <v>148</v>
      </c>
      <c r="C6" s="31" t="s">
        <v>149</v>
      </c>
      <c r="D6" s="31" t="s">
        <v>150</v>
      </c>
      <c r="E6" s="31" t="s">
        <v>157</v>
      </c>
      <c r="F6" s="31" t="s">
        <v>158</v>
      </c>
      <c r="G6" s="31" t="s">
        <v>159</v>
      </c>
      <c r="H6" s="32" t="s">
        <v>160</v>
      </c>
      <c r="I6" s="32">
        <v>10</v>
      </c>
      <c r="J6" s="32">
        <v>15</v>
      </c>
      <c r="K6" s="32">
        <v>10</v>
      </c>
      <c r="L6" s="32">
        <v>6</v>
      </c>
      <c r="M6" s="32">
        <v>68</v>
      </c>
    </row>
    <row r="7" spans="2:13" ht="14.4">
      <c r="B7" s="31" t="s">
        <v>148</v>
      </c>
      <c r="C7" s="31" t="s">
        <v>149</v>
      </c>
      <c r="D7" s="31" t="s">
        <v>150</v>
      </c>
      <c r="E7" s="31" t="s">
        <v>161</v>
      </c>
      <c r="F7" s="31" t="s">
        <v>162</v>
      </c>
      <c r="G7" s="31" t="s">
        <v>162</v>
      </c>
      <c r="H7" s="32" t="s">
        <v>162</v>
      </c>
      <c r="I7" s="32">
        <v>18.5</v>
      </c>
      <c r="J7" s="32">
        <v>21.5</v>
      </c>
      <c r="K7" s="32">
        <v>13.5</v>
      </c>
      <c r="L7" s="32">
        <v>10</v>
      </c>
      <c r="M7" s="32">
        <v>80</v>
      </c>
    </row>
    <row r="8" spans="2:13" ht="14.4">
      <c r="B8" s="31" t="s">
        <v>148</v>
      </c>
      <c r="C8" s="31" t="s">
        <v>149</v>
      </c>
      <c r="D8" s="31" t="s">
        <v>150</v>
      </c>
      <c r="E8" s="31" t="s">
        <v>163</v>
      </c>
      <c r="F8" s="31" t="s">
        <v>164</v>
      </c>
      <c r="G8" s="31" t="s">
        <v>164</v>
      </c>
      <c r="H8" s="32" t="s">
        <v>164</v>
      </c>
      <c r="I8" s="32">
        <v>15</v>
      </c>
      <c r="J8" s="32">
        <v>24</v>
      </c>
      <c r="K8" s="32">
        <v>18</v>
      </c>
      <c r="L8" s="32">
        <v>12</v>
      </c>
      <c r="M8" s="32">
        <v>82</v>
      </c>
    </row>
    <row r="9" spans="2:13" ht="14.4">
      <c r="B9" s="31" t="s">
        <v>148</v>
      </c>
      <c r="C9" s="31" t="s">
        <v>149</v>
      </c>
      <c r="D9" s="31" t="s">
        <v>150</v>
      </c>
      <c r="E9" s="31" t="s">
        <v>165</v>
      </c>
      <c r="F9" s="31" t="s">
        <v>166</v>
      </c>
      <c r="G9" s="31" t="s">
        <v>167</v>
      </c>
      <c r="H9" s="32" t="s">
        <v>166</v>
      </c>
      <c r="I9" s="32">
        <v>10.5</v>
      </c>
      <c r="J9" s="32">
        <v>16</v>
      </c>
      <c r="K9" s="32">
        <v>9</v>
      </c>
      <c r="L9" s="32">
        <v>6</v>
      </c>
      <c r="M9" s="32">
        <v>70</v>
      </c>
    </row>
    <row r="10" spans="2:13" ht="14.4">
      <c r="B10" s="31" t="s">
        <v>148</v>
      </c>
      <c r="C10" s="31" t="s">
        <v>149</v>
      </c>
      <c r="D10" s="31" t="s">
        <v>150</v>
      </c>
      <c r="E10" s="31" t="s">
        <v>168</v>
      </c>
      <c r="F10" s="31" t="s">
        <v>169</v>
      </c>
      <c r="G10" s="31" t="s">
        <v>170</v>
      </c>
      <c r="H10" s="32" t="s">
        <v>169</v>
      </c>
      <c r="I10" s="32">
        <v>12.5</v>
      </c>
      <c r="J10" s="32">
        <v>24</v>
      </c>
      <c r="K10" s="32">
        <v>12</v>
      </c>
      <c r="L10" s="32">
        <v>8</v>
      </c>
      <c r="M10" s="32">
        <v>76</v>
      </c>
    </row>
    <row r="11" spans="2:13" ht="14.4">
      <c r="B11" s="31" t="s">
        <v>148</v>
      </c>
      <c r="C11" s="31" t="s">
        <v>149</v>
      </c>
      <c r="D11" s="31" t="s">
        <v>150</v>
      </c>
      <c r="E11" s="31" t="s">
        <v>171</v>
      </c>
      <c r="F11" s="31" t="s">
        <v>172</v>
      </c>
      <c r="G11" s="31" t="s">
        <v>173</v>
      </c>
      <c r="H11" s="32" t="s">
        <v>172</v>
      </c>
      <c r="I11" s="32">
        <v>14</v>
      </c>
      <c r="J11" s="32">
        <v>22</v>
      </c>
      <c r="K11" s="32">
        <v>16</v>
      </c>
      <c r="L11" s="32">
        <v>12</v>
      </c>
      <c r="M11" s="32">
        <v>80</v>
      </c>
    </row>
    <row r="12" spans="2:13" ht="14.4">
      <c r="B12" s="31" t="s">
        <v>148</v>
      </c>
      <c r="C12" s="31" t="s">
        <v>149</v>
      </c>
      <c r="D12" s="31" t="s">
        <v>150</v>
      </c>
      <c r="E12" s="31" t="s">
        <v>174</v>
      </c>
      <c r="F12" s="31" t="s">
        <v>175</v>
      </c>
      <c r="G12" s="31" t="s">
        <v>176</v>
      </c>
      <c r="H12" s="32" t="s">
        <v>175</v>
      </c>
      <c r="I12" s="32">
        <v>13</v>
      </c>
      <c r="J12" s="32">
        <v>20</v>
      </c>
      <c r="K12" s="32">
        <v>11</v>
      </c>
      <c r="L12" s="32">
        <v>8</v>
      </c>
      <c r="M12" s="32">
        <v>74</v>
      </c>
    </row>
    <row r="13" spans="2:13" ht="14.4">
      <c r="B13" s="31" t="s">
        <v>148</v>
      </c>
      <c r="C13" s="31" t="s">
        <v>149</v>
      </c>
      <c r="D13" s="31" t="s">
        <v>150</v>
      </c>
      <c r="E13" s="31" t="s">
        <v>177</v>
      </c>
      <c r="F13" s="31" t="s">
        <v>178</v>
      </c>
      <c r="G13" s="31" t="s">
        <v>179</v>
      </c>
      <c r="H13" s="32" t="s">
        <v>178</v>
      </c>
      <c r="I13" s="32">
        <v>21.5</v>
      </c>
      <c r="J13" s="32">
        <v>30</v>
      </c>
      <c r="K13" s="32">
        <v>40</v>
      </c>
      <c r="L13" s="32">
        <v>25</v>
      </c>
      <c r="M13" s="32">
        <v>92</v>
      </c>
    </row>
    <row r="14" spans="2:13" ht="14.4">
      <c r="B14" s="31" t="s">
        <v>148</v>
      </c>
      <c r="C14" s="31" t="s">
        <v>149</v>
      </c>
      <c r="D14" s="31" t="s">
        <v>150</v>
      </c>
      <c r="E14" s="31" t="s">
        <v>180</v>
      </c>
      <c r="F14" s="31" t="s">
        <v>181</v>
      </c>
      <c r="G14" s="31" t="s">
        <v>182</v>
      </c>
      <c r="H14" s="32" t="s">
        <v>183</v>
      </c>
      <c r="I14" s="32">
        <v>16</v>
      </c>
      <c r="J14" s="32">
        <v>26</v>
      </c>
      <c r="K14" s="32">
        <v>16</v>
      </c>
      <c r="L14" s="32">
        <v>12</v>
      </c>
      <c r="M14" s="32">
        <v>82</v>
      </c>
    </row>
    <row r="15" spans="2:13" ht="14.4">
      <c r="B15" s="31" t="s">
        <v>148</v>
      </c>
      <c r="C15" s="31" t="s">
        <v>149</v>
      </c>
      <c r="D15" s="31" t="s">
        <v>150</v>
      </c>
      <c r="E15" s="31" t="s">
        <v>184</v>
      </c>
      <c r="F15" s="31" t="s">
        <v>185</v>
      </c>
      <c r="G15" s="31" t="s">
        <v>186</v>
      </c>
      <c r="H15" s="32" t="s">
        <v>185</v>
      </c>
      <c r="I15" s="32">
        <v>17.5</v>
      </c>
      <c r="J15" s="32">
        <v>31.5</v>
      </c>
      <c r="K15" s="32">
        <v>17.5</v>
      </c>
      <c r="L15" s="32">
        <v>12</v>
      </c>
      <c r="M15" s="32">
        <v>84</v>
      </c>
    </row>
    <row r="16" spans="2:13" ht="14.4">
      <c r="B16" s="31" t="s">
        <v>187</v>
      </c>
      <c r="C16" s="31" t="s">
        <v>188</v>
      </c>
      <c r="D16" s="31" t="s">
        <v>189</v>
      </c>
      <c r="E16" s="31" t="s">
        <v>190</v>
      </c>
      <c r="F16" s="31" t="s">
        <v>191</v>
      </c>
      <c r="G16" s="31" t="s">
        <v>192</v>
      </c>
      <c r="H16" s="32" t="s">
        <v>193</v>
      </c>
      <c r="I16" s="32">
        <v>10</v>
      </c>
      <c r="J16" s="32">
        <v>16</v>
      </c>
      <c r="K16" s="32">
        <v>5</v>
      </c>
      <c r="L16" s="32">
        <v>3</v>
      </c>
      <c r="M16" s="32">
        <v>65</v>
      </c>
    </row>
    <row r="17" spans="2:13" ht="14.4">
      <c r="B17" s="31" t="s">
        <v>187</v>
      </c>
      <c r="C17" s="31" t="s">
        <v>188</v>
      </c>
      <c r="D17" s="31" t="s">
        <v>189</v>
      </c>
      <c r="E17" s="31" t="s">
        <v>194</v>
      </c>
      <c r="F17" s="31" t="s">
        <v>195</v>
      </c>
      <c r="G17" s="31" t="s">
        <v>196</v>
      </c>
      <c r="H17" s="32" t="s">
        <v>197</v>
      </c>
      <c r="I17" s="32">
        <v>7.5</v>
      </c>
      <c r="J17" s="32">
        <v>6.5</v>
      </c>
      <c r="K17" s="32">
        <v>4</v>
      </c>
      <c r="L17" s="32">
        <v>2</v>
      </c>
      <c r="M17" s="32">
        <v>55</v>
      </c>
    </row>
    <row r="18" spans="2:13" ht="14.4">
      <c r="B18" s="31" t="s">
        <v>187</v>
      </c>
      <c r="C18" s="31" t="s">
        <v>188</v>
      </c>
      <c r="D18" s="31" t="s">
        <v>189</v>
      </c>
      <c r="E18" s="31" t="s">
        <v>198</v>
      </c>
      <c r="F18" s="31" t="s">
        <v>199</v>
      </c>
      <c r="G18" s="31" t="s">
        <v>200</v>
      </c>
      <c r="H18" s="32" t="s">
        <v>199</v>
      </c>
      <c r="I18" s="32">
        <v>12.5</v>
      </c>
      <c r="J18" s="32">
        <v>15</v>
      </c>
      <c r="K18" s="32">
        <v>20</v>
      </c>
      <c r="L18" s="32">
        <v>15</v>
      </c>
      <c r="M18" s="32">
        <v>78</v>
      </c>
    </row>
    <row r="19" spans="2:13" ht="14.4">
      <c r="B19" s="31" t="s">
        <v>187</v>
      </c>
      <c r="C19" s="31" t="s">
        <v>188</v>
      </c>
      <c r="D19" s="31" t="s">
        <v>189</v>
      </c>
      <c r="E19" s="31" t="s">
        <v>201</v>
      </c>
      <c r="F19" s="31" t="s">
        <v>202</v>
      </c>
      <c r="G19" s="31" t="s">
        <v>203</v>
      </c>
      <c r="H19" s="32" t="s">
        <v>202</v>
      </c>
      <c r="I19" s="32">
        <v>7.5</v>
      </c>
      <c r="J19" s="32">
        <v>10</v>
      </c>
      <c r="K19" s="32">
        <v>4</v>
      </c>
      <c r="L19" s="32">
        <v>2</v>
      </c>
      <c r="M19" s="32">
        <v>58</v>
      </c>
    </row>
    <row r="20" spans="2:13" ht="14.4">
      <c r="B20" s="31" t="s">
        <v>187</v>
      </c>
      <c r="C20" s="31" t="s">
        <v>188</v>
      </c>
      <c r="D20" s="31" t="s">
        <v>189</v>
      </c>
      <c r="E20" s="31" t="s">
        <v>204</v>
      </c>
      <c r="F20" s="31" t="s">
        <v>205</v>
      </c>
      <c r="G20" s="31" t="s">
        <v>206</v>
      </c>
      <c r="H20" s="32" t="s">
        <v>207</v>
      </c>
      <c r="I20" s="32">
        <v>8</v>
      </c>
      <c r="J20" s="32">
        <v>10</v>
      </c>
      <c r="K20" s="32">
        <v>5</v>
      </c>
      <c r="L20" s="32">
        <v>3</v>
      </c>
      <c r="M20" s="32">
        <v>60</v>
      </c>
    </row>
    <row r="21" spans="2:13" ht="14.4">
      <c r="B21" s="31" t="s">
        <v>187</v>
      </c>
      <c r="C21" s="31" t="s">
        <v>188</v>
      </c>
      <c r="D21" s="31" t="s">
        <v>189</v>
      </c>
      <c r="E21" s="31" t="s">
        <v>208</v>
      </c>
      <c r="F21" s="31" t="s">
        <v>209</v>
      </c>
      <c r="G21" s="31" t="s">
        <v>210</v>
      </c>
      <c r="H21" s="32" t="s">
        <v>211</v>
      </c>
      <c r="I21" s="32">
        <v>9</v>
      </c>
      <c r="J21" s="32">
        <v>10</v>
      </c>
      <c r="K21" s="32">
        <v>6.5</v>
      </c>
      <c r="L21" s="32">
        <v>4</v>
      </c>
      <c r="M21" s="32">
        <v>64</v>
      </c>
    </row>
    <row r="22" spans="2:13" ht="14.4">
      <c r="B22" s="31" t="s">
        <v>187</v>
      </c>
      <c r="C22" s="31" t="s">
        <v>188</v>
      </c>
      <c r="D22" s="31" t="s">
        <v>189</v>
      </c>
      <c r="E22" s="31" t="s">
        <v>212</v>
      </c>
      <c r="F22" s="31" t="s">
        <v>213</v>
      </c>
      <c r="G22" s="31" t="s">
        <v>214</v>
      </c>
      <c r="H22" s="32" t="s">
        <v>213</v>
      </c>
      <c r="I22" s="32">
        <v>9.5</v>
      </c>
      <c r="J22" s="32">
        <v>12</v>
      </c>
      <c r="K22" s="32">
        <v>6</v>
      </c>
      <c r="L22" s="32">
        <v>4</v>
      </c>
      <c r="M22" s="32">
        <v>66</v>
      </c>
    </row>
    <row r="23" spans="2:13" ht="14.4">
      <c r="B23" s="31" t="s">
        <v>187</v>
      </c>
      <c r="C23" s="31" t="s">
        <v>188</v>
      </c>
      <c r="D23" s="31" t="s">
        <v>189</v>
      </c>
      <c r="E23" s="31" t="s">
        <v>215</v>
      </c>
      <c r="F23" s="31" t="s">
        <v>216</v>
      </c>
      <c r="G23" s="31" t="s">
        <v>217</v>
      </c>
      <c r="H23" s="32" t="s">
        <v>216</v>
      </c>
      <c r="I23" s="32">
        <v>9</v>
      </c>
      <c r="J23" s="32">
        <v>11</v>
      </c>
      <c r="K23" s="32">
        <v>5</v>
      </c>
      <c r="L23" s="32">
        <v>3</v>
      </c>
      <c r="M23" s="32">
        <v>64</v>
      </c>
    </row>
    <row r="24" spans="2:13" ht="14.4">
      <c r="B24" s="31" t="s">
        <v>187</v>
      </c>
      <c r="C24" s="31" t="s">
        <v>188</v>
      </c>
      <c r="D24" s="31" t="s">
        <v>189</v>
      </c>
      <c r="E24" s="31" t="s">
        <v>218</v>
      </c>
      <c r="F24" s="31" t="s">
        <v>219</v>
      </c>
      <c r="G24" s="31" t="s">
        <v>220</v>
      </c>
      <c r="H24" s="32" t="s">
        <v>219</v>
      </c>
      <c r="I24" s="32">
        <v>9.5</v>
      </c>
      <c r="J24" s="32">
        <v>10</v>
      </c>
      <c r="K24" s="32">
        <v>5.5</v>
      </c>
      <c r="L24" s="32">
        <v>3</v>
      </c>
      <c r="M24" s="32">
        <v>64</v>
      </c>
    </row>
    <row r="25" spans="2:13" ht="14.4">
      <c r="B25" s="31" t="s">
        <v>187</v>
      </c>
      <c r="C25" s="31" t="s">
        <v>188</v>
      </c>
      <c r="D25" s="31" t="s">
        <v>189</v>
      </c>
      <c r="E25" s="31" t="s">
        <v>221</v>
      </c>
      <c r="F25" s="31" t="s">
        <v>222</v>
      </c>
      <c r="G25" s="31" t="s">
        <v>223</v>
      </c>
      <c r="H25" s="32" t="s">
        <v>222</v>
      </c>
      <c r="I25" s="32">
        <v>7</v>
      </c>
      <c r="J25" s="32">
        <v>9</v>
      </c>
      <c r="K25" s="32">
        <v>4</v>
      </c>
      <c r="L25" s="32">
        <v>2</v>
      </c>
      <c r="M25" s="32">
        <v>56</v>
      </c>
    </row>
    <row r="26" spans="2:13" ht="14.4">
      <c r="B26" s="31" t="s">
        <v>187</v>
      </c>
      <c r="C26" s="31" t="s">
        <v>188</v>
      </c>
      <c r="D26" s="31" t="s">
        <v>189</v>
      </c>
      <c r="E26" s="31" t="s">
        <v>224</v>
      </c>
      <c r="F26" s="31" t="s">
        <v>225</v>
      </c>
      <c r="G26" s="31" t="s">
        <v>226</v>
      </c>
      <c r="H26" s="32" t="s">
        <v>225</v>
      </c>
      <c r="I26" s="32">
        <v>8.5</v>
      </c>
      <c r="J26" s="32">
        <v>11</v>
      </c>
      <c r="K26" s="32">
        <v>5</v>
      </c>
      <c r="L26" s="32">
        <v>3</v>
      </c>
      <c r="M26" s="32">
        <v>62</v>
      </c>
    </row>
    <row r="27" spans="2:13" ht="14.4">
      <c r="B27" s="31" t="s">
        <v>187</v>
      </c>
      <c r="C27" s="31" t="s">
        <v>188</v>
      </c>
      <c r="D27" s="31" t="s">
        <v>189</v>
      </c>
      <c r="E27" s="31" t="s">
        <v>227</v>
      </c>
      <c r="F27" s="31" t="s">
        <v>228</v>
      </c>
      <c r="G27" s="31" t="s">
        <v>229</v>
      </c>
      <c r="H27" s="32" t="s">
        <v>228</v>
      </c>
      <c r="I27" s="32">
        <v>8</v>
      </c>
      <c r="J27" s="32">
        <v>10.5</v>
      </c>
      <c r="K27" s="32">
        <v>5.5</v>
      </c>
      <c r="L27" s="32">
        <v>3</v>
      </c>
      <c r="M27" s="32">
        <v>62</v>
      </c>
    </row>
    <row r="28" spans="2:13" ht="14.4">
      <c r="B28" s="31" t="s">
        <v>230</v>
      </c>
      <c r="C28" s="31" t="s">
        <v>231</v>
      </c>
      <c r="D28" s="31" t="s">
        <v>232</v>
      </c>
      <c r="E28" s="31" t="s">
        <v>233</v>
      </c>
      <c r="F28" s="31" t="s">
        <v>234</v>
      </c>
      <c r="G28" s="31" t="s">
        <v>235</v>
      </c>
      <c r="H28" s="32" t="s">
        <v>234</v>
      </c>
      <c r="I28" s="32">
        <v>10</v>
      </c>
      <c r="J28" s="32">
        <v>12.5</v>
      </c>
      <c r="K28" s="32">
        <v>5</v>
      </c>
      <c r="L28" s="32">
        <v>3</v>
      </c>
      <c r="M28" s="32">
        <v>66</v>
      </c>
    </row>
    <row r="29" spans="2:13" ht="14.4">
      <c r="B29" s="31" t="s">
        <v>230</v>
      </c>
      <c r="C29" s="31" t="s">
        <v>231</v>
      </c>
      <c r="D29" s="31" t="s">
        <v>232</v>
      </c>
      <c r="E29" s="31" t="s">
        <v>236</v>
      </c>
      <c r="F29" s="31" t="s">
        <v>237</v>
      </c>
      <c r="G29" s="31" t="s">
        <v>238</v>
      </c>
      <c r="H29" s="32" t="s">
        <v>237</v>
      </c>
      <c r="I29" s="32">
        <v>6.5</v>
      </c>
      <c r="J29" s="32">
        <v>15</v>
      </c>
      <c r="K29" s="32">
        <v>4</v>
      </c>
      <c r="L29" s="32">
        <v>2</v>
      </c>
      <c r="M29" s="32">
        <v>62</v>
      </c>
    </row>
    <row r="30" spans="2:13" ht="14.4">
      <c r="B30" s="31" t="s">
        <v>230</v>
      </c>
      <c r="C30" s="31" t="s">
        <v>231</v>
      </c>
      <c r="D30" s="31" t="s">
        <v>232</v>
      </c>
      <c r="E30" s="31" t="s">
        <v>239</v>
      </c>
      <c r="F30" s="31" t="s">
        <v>240</v>
      </c>
      <c r="G30" s="31" t="s">
        <v>241</v>
      </c>
      <c r="H30" s="32" t="s">
        <v>242</v>
      </c>
      <c r="I30" s="32">
        <v>7.5</v>
      </c>
      <c r="J30" s="32">
        <v>8</v>
      </c>
      <c r="K30" s="32">
        <v>3.5</v>
      </c>
      <c r="L30" s="32">
        <v>2</v>
      </c>
      <c r="M30" s="32">
        <v>58</v>
      </c>
    </row>
    <row r="31" spans="2:13" ht="14.4">
      <c r="B31" s="31" t="s">
        <v>230</v>
      </c>
      <c r="C31" s="31" t="s">
        <v>231</v>
      </c>
      <c r="D31" s="31" t="s">
        <v>232</v>
      </c>
      <c r="E31" s="31" t="s">
        <v>243</v>
      </c>
      <c r="F31" s="31" t="s">
        <v>244</v>
      </c>
      <c r="G31" s="31" t="s">
        <v>245</v>
      </c>
      <c r="H31" s="32" t="s">
        <v>244</v>
      </c>
      <c r="I31" s="32">
        <v>10</v>
      </c>
      <c r="J31" s="32">
        <v>12.5</v>
      </c>
      <c r="K31" s="32">
        <v>7.5</v>
      </c>
      <c r="L31" s="32">
        <v>5</v>
      </c>
      <c r="M31" s="32">
        <v>70</v>
      </c>
    </row>
    <row r="32" spans="2:13" ht="14.4">
      <c r="B32" s="31" t="s">
        <v>230</v>
      </c>
      <c r="C32" s="31" t="s">
        <v>231</v>
      </c>
      <c r="D32" s="31" t="s">
        <v>232</v>
      </c>
      <c r="E32" s="31" t="s">
        <v>246</v>
      </c>
      <c r="F32" s="31" t="s">
        <v>247</v>
      </c>
      <c r="G32" s="31" t="s">
        <v>248</v>
      </c>
      <c r="H32" s="32" t="s">
        <v>247</v>
      </c>
      <c r="I32" s="32">
        <v>12.5</v>
      </c>
      <c r="J32" s="32">
        <v>20</v>
      </c>
      <c r="K32" s="32">
        <v>30</v>
      </c>
      <c r="L32" s="32">
        <v>20</v>
      </c>
      <c r="M32" s="32">
        <v>84</v>
      </c>
    </row>
    <row r="33" spans="2:13" ht="14.4">
      <c r="B33" s="31" t="s">
        <v>230</v>
      </c>
      <c r="C33" s="31" t="s">
        <v>231</v>
      </c>
      <c r="D33" s="31" t="s">
        <v>232</v>
      </c>
      <c r="E33" s="31" t="s">
        <v>249</v>
      </c>
      <c r="F33" s="31" t="s">
        <v>250</v>
      </c>
      <c r="G33" s="31" t="s">
        <v>251</v>
      </c>
      <c r="H33" s="32" t="s">
        <v>250</v>
      </c>
      <c r="I33" s="32">
        <v>8</v>
      </c>
      <c r="J33" s="32">
        <v>10</v>
      </c>
      <c r="K33" s="32">
        <v>6</v>
      </c>
      <c r="L33" s="32">
        <v>4</v>
      </c>
      <c r="M33" s="32">
        <v>64</v>
      </c>
    </row>
    <row r="34" spans="2:13" ht="14.4">
      <c r="B34" s="31" t="s">
        <v>230</v>
      </c>
      <c r="C34" s="31" t="s">
        <v>231</v>
      </c>
      <c r="D34" s="31" t="s">
        <v>232</v>
      </c>
      <c r="E34" s="31" t="s">
        <v>252</v>
      </c>
      <c r="F34" s="31" t="s">
        <v>253</v>
      </c>
      <c r="G34" s="31" t="s">
        <v>254</v>
      </c>
      <c r="H34" s="32" t="s">
        <v>253</v>
      </c>
      <c r="I34" s="32">
        <v>15</v>
      </c>
      <c r="J34" s="32">
        <v>25</v>
      </c>
      <c r="K34" s="32">
        <v>17.5</v>
      </c>
      <c r="L34" s="32">
        <v>12</v>
      </c>
      <c r="M34" s="32">
        <v>82</v>
      </c>
    </row>
    <row r="35" spans="2:13" ht="14.4">
      <c r="B35" s="31" t="s">
        <v>230</v>
      </c>
      <c r="C35" s="31" t="s">
        <v>231</v>
      </c>
      <c r="D35" s="31" t="s">
        <v>232</v>
      </c>
      <c r="E35" s="31" t="s">
        <v>255</v>
      </c>
      <c r="F35" s="31" t="s">
        <v>256</v>
      </c>
      <c r="G35" s="31" t="s">
        <v>257</v>
      </c>
      <c r="H35" s="32" t="s">
        <v>256</v>
      </c>
      <c r="I35" s="32">
        <v>8</v>
      </c>
      <c r="J35" s="32">
        <v>9</v>
      </c>
      <c r="K35" s="32">
        <v>4.5</v>
      </c>
      <c r="L35" s="32">
        <v>3</v>
      </c>
      <c r="M35" s="32">
        <v>62</v>
      </c>
    </row>
    <row r="36" spans="2:13" ht="14.4">
      <c r="B36" s="31" t="s">
        <v>230</v>
      </c>
      <c r="C36" s="31" t="s">
        <v>231</v>
      </c>
      <c r="D36" s="31" t="s">
        <v>232</v>
      </c>
      <c r="E36" s="31" t="s">
        <v>258</v>
      </c>
      <c r="F36" s="31" t="s">
        <v>259</v>
      </c>
      <c r="G36" s="31" t="s">
        <v>260</v>
      </c>
      <c r="H36" s="32" t="s">
        <v>259</v>
      </c>
      <c r="I36" s="32">
        <v>8.5</v>
      </c>
      <c r="J36" s="32">
        <v>10.5</v>
      </c>
      <c r="K36" s="32">
        <v>4.5</v>
      </c>
      <c r="L36" s="32">
        <v>3</v>
      </c>
      <c r="M36" s="32">
        <v>64</v>
      </c>
    </row>
    <row r="37" spans="2:13" ht="14.4">
      <c r="B37" s="31" t="s">
        <v>230</v>
      </c>
      <c r="C37" s="31" t="s">
        <v>231</v>
      </c>
      <c r="D37" s="31" t="s">
        <v>232</v>
      </c>
      <c r="E37" s="31" t="s">
        <v>261</v>
      </c>
      <c r="F37" s="31" t="s">
        <v>262</v>
      </c>
      <c r="G37" s="31" t="s">
        <v>263</v>
      </c>
      <c r="H37" s="32" t="s">
        <v>262</v>
      </c>
      <c r="I37" s="32">
        <v>7</v>
      </c>
      <c r="J37" s="32">
        <v>16</v>
      </c>
      <c r="K37" s="32">
        <v>6</v>
      </c>
      <c r="L37" s="32">
        <v>4</v>
      </c>
      <c r="M37" s="32">
        <v>66</v>
      </c>
    </row>
    <row r="38" spans="2:13" ht="14.4">
      <c r="B38" s="31" t="s">
        <v>230</v>
      </c>
      <c r="C38" s="31" t="s">
        <v>231</v>
      </c>
      <c r="D38" s="31" t="s">
        <v>232</v>
      </c>
      <c r="E38" s="31" t="s">
        <v>264</v>
      </c>
      <c r="F38" s="31" t="s">
        <v>265</v>
      </c>
      <c r="G38" s="31" t="s">
        <v>266</v>
      </c>
      <c r="H38" s="32" t="s">
        <v>265</v>
      </c>
      <c r="I38" s="32">
        <v>8</v>
      </c>
      <c r="J38" s="32">
        <v>13</v>
      </c>
      <c r="K38" s="32">
        <v>8</v>
      </c>
      <c r="L38" s="32">
        <v>5</v>
      </c>
      <c r="M38" s="32">
        <v>68</v>
      </c>
    </row>
    <row r="39" spans="2:13" ht="14.4">
      <c r="B39" s="31" t="s">
        <v>230</v>
      </c>
      <c r="C39" s="31" t="s">
        <v>231</v>
      </c>
      <c r="D39" s="31" t="s">
        <v>232</v>
      </c>
      <c r="E39" s="31" t="s">
        <v>267</v>
      </c>
      <c r="F39" s="31" t="s">
        <v>268</v>
      </c>
      <c r="G39" s="31" t="s">
        <v>269</v>
      </c>
      <c r="H39" s="32" t="s">
        <v>268</v>
      </c>
      <c r="I39" s="32">
        <v>7.5</v>
      </c>
      <c r="J39" s="32">
        <v>11</v>
      </c>
      <c r="K39" s="32">
        <v>4.5</v>
      </c>
      <c r="L39" s="32">
        <v>3</v>
      </c>
      <c r="M39" s="32">
        <v>62</v>
      </c>
    </row>
    <row r="40" spans="2:13" ht="14.4">
      <c r="B40" s="31" t="s">
        <v>270</v>
      </c>
      <c r="C40" s="31" t="s">
        <v>271</v>
      </c>
      <c r="D40" s="31" t="s">
        <v>272</v>
      </c>
      <c r="E40" s="31" t="s">
        <v>273</v>
      </c>
      <c r="F40" s="31" t="s">
        <v>274</v>
      </c>
      <c r="G40" s="31" t="s">
        <v>275</v>
      </c>
      <c r="H40" s="32" t="s">
        <v>276</v>
      </c>
      <c r="I40" s="32">
        <v>8</v>
      </c>
      <c r="J40" s="32">
        <v>7</v>
      </c>
      <c r="K40" s="32">
        <v>4</v>
      </c>
      <c r="L40" s="32">
        <v>2</v>
      </c>
      <c r="M40" s="32">
        <v>58</v>
      </c>
    </row>
    <row r="41" spans="2:13" ht="14.4">
      <c r="B41" s="31" t="s">
        <v>270</v>
      </c>
      <c r="C41" s="31" t="s">
        <v>271</v>
      </c>
      <c r="D41" s="31" t="s">
        <v>272</v>
      </c>
      <c r="E41" s="31" t="s">
        <v>277</v>
      </c>
      <c r="F41" s="31" t="s">
        <v>278</v>
      </c>
      <c r="G41" s="31" t="s">
        <v>279</v>
      </c>
      <c r="H41" s="32" t="s">
        <v>278</v>
      </c>
      <c r="I41" s="32">
        <v>8</v>
      </c>
      <c r="J41" s="32">
        <v>12.5</v>
      </c>
      <c r="K41" s="32">
        <v>6.5</v>
      </c>
      <c r="L41" s="32">
        <v>4</v>
      </c>
      <c r="M41" s="32">
        <v>66</v>
      </c>
    </row>
    <row r="42" spans="2:13" ht="14.4">
      <c r="B42" s="31" t="s">
        <v>270</v>
      </c>
      <c r="C42" s="31" t="s">
        <v>271</v>
      </c>
      <c r="D42" s="31" t="s">
        <v>272</v>
      </c>
      <c r="E42" s="31" t="s">
        <v>280</v>
      </c>
      <c r="F42" s="31" t="s">
        <v>281</v>
      </c>
      <c r="G42" s="31" t="s">
        <v>282</v>
      </c>
      <c r="H42" s="32" t="s">
        <v>281</v>
      </c>
      <c r="I42" s="32">
        <v>9</v>
      </c>
      <c r="J42" s="32">
        <v>12</v>
      </c>
      <c r="K42" s="32">
        <v>6.5</v>
      </c>
      <c r="L42" s="32">
        <v>4</v>
      </c>
      <c r="M42" s="32">
        <v>68</v>
      </c>
    </row>
    <row r="43" spans="2:13" ht="14.4">
      <c r="B43" s="31" t="s">
        <v>270</v>
      </c>
      <c r="C43" s="31" t="s">
        <v>271</v>
      </c>
      <c r="D43" s="31" t="s">
        <v>272</v>
      </c>
      <c r="E43" s="31" t="s">
        <v>283</v>
      </c>
      <c r="F43" s="31" t="s">
        <v>284</v>
      </c>
      <c r="G43" s="31" t="s">
        <v>285</v>
      </c>
      <c r="H43" s="32" t="s">
        <v>284</v>
      </c>
      <c r="I43" s="32">
        <v>8</v>
      </c>
      <c r="J43" s="32">
        <v>11</v>
      </c>
      <c r="K43" s="32">
        <v>5.5</v>
      </c>
      <c r="L43" s="32">
        <v>3</v>
      </c>
      <c r="M43" s="32">
        <v>64</v>
      </c>
    </row>
    <row r="44" spans="2:13" ht="14.4">
      <c r="B44" s="31" t="s">
        <v>270</v>
      </c>
      <c r="C44" s="31" t="s">
        <v>271</v>
      </c>
      <c r="D44" s="31" t="s">
        <v>272</v>
      </c>
      <c r="E44" s="31" t="s">
        <v>286</v>
      </c>
      <c r="F44" s="31" t="s">
        <v>287</v>
      </c>
      <c r="G44" s="31" t="s">
        <v>288</v>
      </c>
      <c r="H44" s="32" t="s">
        <v>287</v>
      </c>
      <c r="I44" s="32">
        <v>7.5</v>
      </c>
      <c r="J44" s="32">
        <v>10.5</v>
      </c>
      <c r="K44" s="32">
        <v>4.5</v>
      </c>
      <c r="L44" s="32">
        <v>3</v>
      </c>
      <c r="M44" s="32">
        <v>62</v>
      </c>
    </row>
    <row r="45" spans="2:13" ht="14.4">
      <c r="B45" s="31" t="s">
        <v>270</v>
      </c>
      <c r="C45" s="31" t="s">
        <v>271</v>
      </c>
      <c r="D45" s="31" t="s">
        <v>272</v>
      </c>
      <c r="E45" s="31" t="s">
        <v>289</v>
      </c>
      <c r="F45" s="31" t="s">
        <v>290</v>
      </c>
      <c r="G45" s="31" t="s">
        <v>291</v>
      </c>
      <c r="H45" s="32" t="s">
        <v>290</v>
      </c>
      <c r="I45" s="32">
        <v>7.5</v>
      </c>
      <c r="J45" s="32">
        <v>10</v>
      </c>
      <c r="K45" s="32">
        <v>5</v>
      </c>
      <c r="L45" s="32">
        <v>3</v>
      </c>
      <c r="M45" s="32">
        <v>62</v>
      </c>
    </row>
    <row r="46" spans="2:13" ht="14.4">
      <c r="B46" s="31" t="s">
        <v>270</v>
      </c>
      <c r="C46" s="31" t="s">
        <v>271</v>
      </c>
      <c r="D46" s="31" t="s">
        <v>272</v>
      </c>
      <c r="E46" s="31" t="s">
        <v>292</v>
      </c>
      <c r="F46" s="31" t="s">
        <v>293</v>
      </c>
      <c r="G46" s="31" t="s">
        <v>294</v>
      </c>
      <c r="H46" s="32" t="s">
        <v>293</v>
      </c>
      <c r="I46" s="32">
        <v>8.5</v>
      </c>
      <c r="J46" s="32">
        <v>12</v>
      </c>
      <c r="K46" s="32">
        <v>5.5</v>
      </c>
      <c r="L46" s="32">
        <v>3</v>
      </c>
      <c r="M46" s="32">
        <v>66</v>
      </c>
    </row>
    <row r="47" spans="2:13" ht="14.4">
      <c r="B47" s="31" t="s">
        <v>270</v>
      </c>
      <c r="C47" s="31" t="s">
        <v>271</v>
      </c>
      <c r="D47" s="31" t="s">
        <v>272</v>
      </c>
      <c r="E47" s="31" t="s">
        <v>295</v>
      </c>
      <c r="F47" s="31" t="s">
        <v>296</v>
      </c>
      <c r="G47" s="31" t="s">
        <v>297</v>
      </c>
      <c r="H47" s="32" t="s">
        <v>296</v>
      </c>
      <c r="I47" s="32">
        <v>8</v>
      </c>
      <c r="J47" s="32">
        <v>11</v>
      </c>
      <c r="K47" s="32">
        <v>5</v>
      </c>
      <c r="L47" s="32">
        <v>3</v>
      </c>
      <c r="M47" s="32">
        <v>64</v>
      </c>
    </row>
    <row r="48" spans="2:13" ht="14.4">
      <c r="B48" s="31" t="s">
        <v>270</v>
      </c>
      <c r="C48" s="31" t="s">
        <v>271</v>
      </c>
      <c r="D48" s="31" t="s">
        <v>272</v>
      </c>
      <c r="E48" s="31" t="s">
        <v>298</v>
      </c>
      <c r="F48" s="31" t="s">
        <v>299</v>
      </c>
      <c r="G48" s="31" t="s">
        <v>300</v>
      </c>
      <c r="H48" s="32" t="s">
        <v>299</v>
      </c>
      <c r="I48" s="32">
        <v>10</v>
      </c>
      <c r="J48" s="32">
        <v>15</v>
      </c>
      <c r="K48" s="32">
        <v>10</v>
      </c>
      <c r="L48" s="32">
        <v>6</v>
      </c>
      <c r="M48" s="32">
        <v>72</v>
      </c>
    </row>
    <row r="49" spans="2:13" ht="14.4">
      <c r="B49" s="31" t="s">
        <v>270</v>
      </c>
      <c r="C49" s="31" t="s">
        <v>271</v>
      </c>
      <c r="D49" s="31" t="s">
        <v>272</v>
      </c>
      <c r="E49" s="31" t="s">
        <v>301</v>
      </c>
      <c r="F49" s="31" t="s">
        <v>302</v>
      </c>
      <c r="G49" s="31" t="s">
        <v>303</v>
      </c>
      <c r="H49" s="32" t="s">
        <v>302</v>
      </c>
      <c r="I49" s="32">
        <v>10</v>
      </c>
      <c r="J49" s="32">
        <v>11</v>
      </c>
      <c r="K49" s="32">
        <v>7.5</v>
      </c>
      <c r="L49" s="32">
        <v>5</v>
      </c>
      <c r="M49" s="32">
        <v>70</v>
      </c>
    </row>
    <row r="50" spans="2:13" ht="14.4">
      <c r="B50" s="31" t="s">
        <v>270</v>
      </c>
      <c r="C50" s="31" t="s">
        <v>271</v>
      </c>
      <c r="D50" s="31" t="s">
        <v>272</v>
      </c>
      <c r="E50" s="31" t="s">
        <v>304</v>
      </c>
      <c r="F50" s="31" t="s">
        <v>305</v>
      </c>
      <c r="G50" s="31" t="s">
        <v>306</v>
      </c>
      <c r="H50" s="32" t="s">
        <v>305</v>
      </c>
      <c r="I50" s="32">
        <v>10</v>
      </c>
      <c r="J50" s="32">
        <v>14</v>
      </c>
      <c r="K50" s="32">
        <v>5</v>
      </c>
      <c r="L50" s="32">
        <v>3</v>
      </c>
      <c r="M50" s="32">
        <v>68</v>
      </c>
    </row>
    <row r="51" spans="2:13" ht="14.4">
      <c r="B51" s="31" t="s">
        <v>270</v>
      </c>
      <c r="C51" s="31" t="s">
        <v>271</v>
      </c>
      <c r="D51" s="31" t="s">
        <v>272</v>
      </c>
      <c r="E51" s="31" t="s">
        <v>307</v>
      </c>
      <c r="F51" s="31" t="s">
        <v>308</v>
      </c>
      <c r="G51" s="31" t="s">
        <v>309</v>
      </c>
      <c r="H51" s="32" t="s">
        <v>308</v>
      </c>
      <c r="I51" s="32">
        <v>12.5</v>
      </c>
      <c r="J51" s="32">
        <v>22.5</v>
      </c>
      <c r="K51" s="32">
        <v>6.5</v>
      </c>
      <c r="L51" s="32">
        <v>4</v>
      </c>
      <c r="M51" s="32">
        <v>74</v>
      </c>
    </row>
    <row r="52" spans="2:13" ht="14.4">
      <c r="B52" s="31" t="s">
        <v>270</v>
      </c>
      <c r="C52" s="31" t="s">
        <v>271</v>
      </c>
      <c r="D52" s="31" t="s">
        <v>272</v>
      </c>
      <c r="E52" s="31" t="s">
        <v>310</v>
      </c>
      <c r="F52" s="31" t="s">
        <v>311</v>
      </c>
      <c r="G52" s="31" t="s">
        <v>312</v>
      </c>
      <c r="H52" s="32" t="s">
        <v>311</v>
      </c>
      <c r="I52" s="32">
        <v>15</v>
      </c>
      <c r="J52" s="32">
        <v>27</v>
      </c>
      <c r="K52" s="32">
        <v>7.5</v>
      </c>
      <c r="L52" s="32">
        <v>5</v>
      </c>
      <c r="M52" s="32">
        <v>78</v>
      </c>
    </row>
    <row r="53" spans="2:13" ht="14.4">
      <c r="B53" s="31" t="s">
        <v>270</v>
      </c>
      <c r="C53" s="31" t="s">
        <v>271</v>
      </c>
      <c r="D53" s="31" t="s">
        <v>272</v>
      </c>
      <c r="E53" s="31" t="s">
        <v>313</v>
      </c>
      <c r="F53" s="31" t="s">
        <v>314</v>
      </c>
      <c r="G53" s="31" t="s">
        <v>315</v>
      </c>
      <c r="H53" s="32" t="s">
        <v>314</v>
      </c>
      <c r="I53" s="32">
        <v>9</v>
      </c>
      <c r="J53" s="32">
        <v>18</v>
      </c>
      <c r="K53" s="32">
        <v>6</v>
      </c>
      <c r="L53" s="32">
        <v>4</v>
      </c>
      <c r="M53" s="32">
        <v>70</v>
      </c>
    </row>
    <row r="54" spans="2:13" ht="14.4">
      <c r="B54" s="31" t="s">
        <v>270</v>
      </c>
      <c r="C54" s="31" t="s">
        <v>271</v>
      </c>
      <c r="D54" s="31" t="s">
        <v>272</v>
      </c>
      <c r="E54" s="31" t="s">
        <v>316</v>
      </c>
      <c r="F54" s="31" t="s">
        <v>317</v>
      </c>
      <c r="G54" s="31" t="s">
        <v>318</v>
      </c>
      <c r="H54" s="32" t="s">
        <v>317</v>
      </c>
      <c r="I54" s="32">
        <v>10</v>
      </c>
      <c r="J54" s="32">
        <v>16</v>
      </c>
      <c r="K54" s="32">
        <v>16</v>
      </c>
      <c r="L54" s="32">
        <v>12</v>
      </c>
      <c r="M54" s="32">
        <v>76</v>
      </c>
    </row>
    <row r="55" spans="2:13" ht="14.4">
      <c r="B55" s="31" t="s">
        <v>319</v>
      </c>
      <c r="C55" s="31" t="s">
        <v>320</v>
      </c>
      <c r="D55" s="31" t="s">
        <v>321</v>
      </c>
      <c r="E55" s="31" t="s">
        <v>322</v>
      </c>
      <c r="F55" s="31" t="s">
        <v>323</v>
      </c>
      <c r="G55" s="31" t="s">
        <v>324</v>
      </c>
      <c r="H55" s="32" t="s">
        <v>323</v>
      </c>
      <c r="I55" s="32">
        <v>10</v>
      </c>
      <c r="J55" s="32">
        <v>14</v>
      </c>
      <c r="K55" s="32">
        <v>17.5</v>
      </c>
      <c r="L55" s="32">
        <v>12</v>
      </c>
      <c r="M55" s="32">
        <v>76</v>
      </c>
    </row>
    <row r="56" spans="2:13" ht="14.4">
      <c r="B56" s="31" t="s">
        <v>319</v>
      </c>
      <c r="C56" s="31" t="s">
        <v>320</v>
      </c>
      <c r="D56" s="31" t="s">
        <v>321</v>
      </c>
      <c r="E56" s="31" t="s">
        <v>325</v>
      </c>
      <c r="F56" s="31" t="s">
        <v>326</v>
      </c>
      <c r="G56" s="31" t="s">
        <v>327</v>
      </c>
      <c r="H56" s="32" t="s">
        <v>326</v>
      </c>
      <c r="I56" s="32">
        <v>9.5</v>
      </c>
      <c r="J56" s="32">
        <v>15</v>
      </c>
      <c r="K56" s="32">
        <v>12</v>
      </c>
      <c r="L56" s="32">
        <v>8</v>
      </c>
      <c r="M56" s="32">
        <v>72</v>
      </c>
    </row>
    <row r="57" spans="2:13" ht="14.4">
      <c r="B57" s="31" t="s">
        <v>319</v>
      </c>
      <c r="C57" s="31" t="s">
        <v>320</v>
      </c>
      <c r="D57" s="31" t="s">
        <v>321</v>
      </c>
      <c r="E57" s="31" t="s">
        <v>328</v>
      </c>
      <c r="F57" s="31" t="s">
        <v>329</v>
      </c>
      <c r="G57" s="31" t="s">
        <v>330</v>
      </c>
      <c r="H57" s="32" t="s">
        <v>329</v>
      </c>
      <c r="I57" s="32">
        <v>9</v>
      </c>
      <c r="J57" s="32">
        <v>15</v>
      </c>
      <c r="K57" s="32">
        <v>21.5</v>
      </c>
      <c r="L57" s="32">
        <v>15</v>
      </c>
      <c r="M57" s="32">
        <v>78</v>
      </c>
    </row>
    <row r="58" spans="2:13" ht="14.4">
      <c r="B58" s="31" t="s">
        <v>319</v>
      </c>
      <c r="C58" s="31" t="s">
        <v>320</v>
      </c>
      <c r="D58" s="31" t="s">
        <v>321</v>
      </c>
      <c r="E58" s="31" t="s">
        <v>331</v>
      </c>
      <c r="F58" s="31" t="s">
        <v>332</v>
      </c>
      <c r="G58" s="31" t="s">
        <v>333</v>
      </c>
      <c r="H58" s="32" t="s">
        <v>332</v>
      </c>
      <c r="I58" s="32">
        <v>9.5</v>
      </c>
      <c r="J58" s="32">
        <v>13</v>
      </c>
      <c r="K58" s="32">
        <v>10</v>
      </c>
      <c r="L58" s="32">
        <v>7</v>
      </c>
      <c r="M58" s="32">
        <v>72</v>
      </c>
    </row>
    <row r="59" spans="2:13" ht="14.4">
      <c r="B59" s="31" t="s">
        <v>319</v>
      </c>
      <c r="C59" s="31" t="s">
        <v>320</v>
      </c>
      <c r="D59" s="31" t="s">
        <v>321</v>
      </c>
      <c r="E59" s="31" t="s">
        <v>334</v>
      </c>
      <c r="F59" s="31" t="s">
        <v>335</v>
      </c>
      <c r="G59" s="31" t="s">
        <v>336</v>
      </c>
      <c r="H59" s="32" t="s">
        <v>335</v>
      </c>
      <c r="I59" s="32">
        <v>10</v>
      </c>
      <c r="J59" s="32">
        <v>16</v>
      </c>
      <c r="K59" s="32">
        <v>8</v>
      </c>
      <c r="L59" s="32">
        <v>6</v>
      </c>
      <c r="M59" s="32">
        <v>72</v>
      </c>
    </row>
    <row r="60" spans="2:13" ht="14.4">
      <c r="B60" s="31" t="s">
        <v>319</v>
      </c>
      <c r="C60" s="31" t="s">
        <v>320</v>
      </c>
      <c r="D60" s="31" t="s">
        <v>321</v>
      </c>
      <c r="E60" s="31" t="s">
        <v>337</v>
      </c>
      <c r="F60" s="31" t="s">
        <v>338</v>
      </c>
      <c r="G60" s="31" t="s">
        <v>339</v>
      </c>
      <c r="H60" s="32" t="s">
        <v>338</v>
      </c>
      <c r="I60" s="32">
        <v>11</v>
      </c>
      <c r="J60" s="32">
        <v>16</v>
      </c>
      <c r="K60" s="32">
        <v>6.5</v>
      </c>
      <c r="L60" s="32">
        <v>4</v>
      </c>
      <c r="M60" s="32">
        <v>72</v>
      </c>
    </row>
    <row r="61" spans="2:13" ht="14.4">
      <c r="B61" s="31" t="s">
        <v>319</v>
      </c>
      <c r="C61" s="31" t="s">
        <v>320</v>
      </c>
      <c r="D61" s="31" t="s">
        <v>321</v>
      </c>
      <c r="E61" s="31" t="s">
        <v>340</v>
      </c>
      <c r="F61" s="31" t="s">
        <v>341</v>
      </c>
      <c r="G61" s="31" t="s">
        <v>342</v>
      </c>
      <c r="H61" s="32" t="s">
        <v>341</v>
      </c>
      <c r="I61" s="32">
        <v>12</v>
      </c>
      <c r="J61" s="32">
        <v>18.5</v>
      </c>
      <c r="K61" s="32">
        <v>7.5</v>
      </c>
      <c r="L61" s="32">
        <v>5</v>
      </c>
      <c r="M61" s="32">
        <v>74</v>
      </c>
    </row>
    <row r="62" spans="2:13" ht="14.4">
      <c r="B62" s="31" t="s">
        <v>319</v>
      </c>
      <c r="C62" s="31" t="s">
        <v>320</v>
      </c>
      <c r="D62" s="31" t="s">
        <v>321</v>
      </c>
      <c r="E62" s="31" t="s">
        <v>343</v>
      </c>
      <c r="F62" s="31" t="s">
        <v>344</v>
      </c>
      <c r="G62" s="31" t="s">
        <v>345</v>
      </c>
      <c r="H62" s="32" t="s">
        <v>344</v>
      </c>
      <c r="I62" s="32">
        <v>9.5</v>
      </c>
      <c r="J62" s="32">
        <v>14</v>
      </c>
      <c r="K62" s="32">
        <v>9</v>
      </c>
      <c r="L62" s="32">
        <v>6</v>
      </c>
      <c r="M62" s="32">
        <v>70</v>
      </c>
    </row>
    <row r="63" spans="2:13" ht="14.4">
      <c r="B63" s="31" t="s">
        <v>319</v>
      </c>
      <c r="C63" s="31" t="s">
        <v>320</v>
      </c>
      <c r="D63" s="31" t="s">
        <v>321</v>
      </c>
      <c r="E63" s="31" t="s">
        <v>346</v>
      </c>
      <c r="F63" s="31" t="s">
        <v>347</v>
      </c>
      <c r="G63" s="31" t="s">
        <v>348</v>
      </c>
      <c r="H63" s="32" t="s">
        <v>347</v>
      </c>
      <c r="I63" s="32">
        <v>10</v>
      </c>
      <c r="J63" s="32">
        <v>17</v>
      </c>
      <c r="K63" s="32">
        <v>7</v>
      </c>
      <c r="L63" s="32">
        <v>5</v>
      </c>
      <c r="M63" s="32">
        <v>72</v>
      </c>
    </row>
    <row r="64" spans="2:13" ht="14.4">
      <c r="B64" s="31" t="s">
        <v>319</v>
      </c>
      <c r="C64" s="31" t="s">
        <v>320</v>
      </c>
      <c r="D64" s="31" t="s">
        <v>321</v>
      </c>
      <c r="E64" s="31" t="s">
        <v>349</v>
      </c>
      <c r="F64" s="31" t="s">
        <v>350</v>
      </c>
      <c r="G64" s="31" t="s">
        <v>351</v>
      </c>
      <c r="H64" s="32" t="s">
        <v>350</v>
      </c>
      <c r="I64" s="32">
        <v>9</v>
      </c>
      <c r="J64" s="32">
        <v>16</v>
      </c>
      <c r="K64" s="32">
        <v>8</v>
      </c>
      <c r="L64" s="32">
        <v>5</v>
      </c>
      <c r="M64" s="32">
        <v>70</v>
      </c>
    </row>
    <row r="65" spans="2:13" ht="14.4">
      <c r="B65" s="31" t="s">
        <v>319</v>
      </c>
      <c r="C65" s="31" t="s">
        <v>320</v>
      </c>
      <c r="D65" s="31" t="s">
        <v>321</v>
      </c>
      <c r="E65" s="31" t="s">
        <v>352</v>
      </c>
      <c r="F65" s="31" t="s">
        <v>353</v>
      </c>
      <c r="G65" s="31" t="s">
        <v>354</v>
      </c>
      <c r="H65" s="32" t="s">
        <v>353</v>
      </c>
      <c r="I65" s="32">
        <v>9.5</v>
      </c>
      <c r="J65" s="32">
        <v>15</v>
      </c>
      <c r="K65" s="32">
        <v>14</v>
      </c>
      <c r="L65" s="32">
        <v>10</v>
      </c>
      <c r="M65" s="32">
        <v>74</v>
      </c>
    </row>
    <row r="66" spans="2:13" ht="14.4">
      <c r="B66" s="31" t="s">
        <v>319</v>
      </c>
      <c r="C66" s="31" t="s">
        <v>320</v>
      </c>
      <c r="D66" s="31" t="s">
        <v>321</v>
      </c>
      <c r="E66" s="31" t="s">
        <v>355</v>
      </c>
      <c r="F66" s="31" t="s">
        <v>356</v>
      </c>
      <c r="G66" s="31" t="s">
        <v>357</v>
      </c>
      <c r="H66" s="32" t="s">
        <v>356</v>
      </c>
      <c r="I66" s="32">
        <v>12.5</v>
      </c>
      <c r="J66" s="32">
        <v>16</v>
      </c>
      <c r="K66" s="32">
        <v>25</v>
      </c>
      <c r="L66" s="32">
        <v>18</v>
      </c>
      <c r="M66" s="32">
        <v>82</v>
      </c>
    </row>
    <row r="67" spans="2:13" ht="14.4">
      <c r="B67" s="31" t="s">
        <v>358</v>
      </c>
      <c r="C67" s="31" t="s">
        <v>359</v>
      </c>
      <c r="D67" s="31" t="s">
        <v>360</v>
      </c>
      <c r="E67" s="31" t="s">
        <v>361</v>
      </c>
      <c r="F67" s="31" t="s">
        <v>362</v>
      </c>
      <c r="G67" s="31" t="s">
        <v>363</v>
      </c>
      <c r="H67" s="32" t="s">
        <v>362</v>
      </c>
      <c r="I67" s="32">
        <v>9</v>
      </c>
      <c r="J67" s="32">
        <v>7.5</v>
      </c>
      <c r="K67" s="32">
        <v>5</v>
      </c>
      <c r="L67" s="32">
        <v>3</v>
      </c>
      <c r="M67" s="32">
        <v>62</v>
      </c>
    </row>
    <row r="68" spans="2:13" ht="14.4">
      <c r="B68" s="31" t="s">
        <v>358</v>
      </c>
      <c r="C68" s="31" t="s">
        <v>359</v>
      </c>
      <c r="D68" s="31" t="s">
        <v>360</v>
      </c>
      <c r="E68" s="31" t="s">
        <v>364</v>
      </c>
      <c r="F68" s="31" t="s">
        <v>365</v>
      </c>
      <c r="G68" s="31" t="s">
        <v>366</v>
      </c>
      <c r="H68" s="32" t="s">
        <v>365</v>
      </c>
      <c r="I68" s="32">
        <v>10</v>
      </c>
      <c r="J68" s="32">
        <v>8</v>
      </c>
      <c r="K68" s="32">
        <v>5.5</v>
      </c>
      <c r="L68" s="32">
        <v>4</v>
      </c>
      <c r="M68" s="32">
        <v>66</v>
      </c>
    </row>
    <row r="69" spans="2:13" ht="14.4">
      <c r="B69" s="31" t="s">
        <v>358</v>
      </c>
      <c r="C69" s="31" t="s">
        <v>359</v>
      </c>
      <c r="D69" s="31" t="s">
        <v>360</v>
      </c>
      <c r="E69" s="31" t="s">
        <v>367</v>
      </c>
      <c r="F69" s="31" t="s">
        <v>368</v>
      </c>
      <c r="G69" s="31" t="s">
        <v>369</v>
      </c>
      <c r="H69" s="32" t="s">
        <v>370</v>
      </c>
      <c r="I69" s="32">
        <v>8</v>
      </c>
      <c r="J69" s="32">
        <v>6</v>
      </c>
      <c r="K69" s="32">
        <v>10</v>
      </c>
      <c r="L69" s="32">
        <v>6</v>
      </c>
      <c r="M69" s="32">
        <v>66</v>
      </c>
    </row>
    <row r="70" spans="2:13" ht="14.4">
      <c r="B70" s="31" t="s">
        <v>358</v>
      </c>
      <c r="C70" s="31" t="s">
        <v>359</v>
      </c>
      <c r="D70" s="31" t="s">
        <v>360</v>
      </c>
      <c r="E70" s="31" t="s">
        <v>371</v>
      </c>
      <c r="F70" s="31" t="s">
        <v>372</v>
      </c>
      <c r="G70" s="31" t="s">
        <v>373</v>
      </c>
      <c r="H70" s="32" t="s">
        <v>372</v>
      </c>
      <c r="I70" s="32">
        <v>9</v>
      </c>
      <c r="J70" s="32">
        <v>7.5</v>
      </c>
      <c r="K70" s="32">
        <v>6.5</v>
      </c>
      <c r="L70" s="32">
        <v>4</v>
      </c>
      <c r="M70" s="32">
        <v>66</v>
      </c>
    </row>
    <row r="71" spans="2:13" ht="14.4">
      <c r="B71" s="31" t="s">
        <v>358</v>
      </c>
      <c r="C71" s="31" t="s">
        <v>359</v>
      </c>
      <c r="D71" s="31" t="s">
        <v>360</v>
      </c>
      <c r="E71" s="31" t="s">
        <v>374</v>
      </c>
      <c r="F71" s="31" t="s">
        <v>375</v>
      </c>
      <c r="G71" s="31" t="s">
        <v>376</v>
      </c>
      <c r="H71" s="32" t="s">
        <v>375</v>
      </c>
      <c r="I71" s="32">
        <v>7</v>
      </c>
      <c r="J71" s="32">
        <v>8</v>
      </c>
      <c r="K71" s="32">
        <v>4</v>
      </c>
      <c r="L71" s="32">
        <v>2</v>
      </c>
      <c r="M71" s="32">
        <v>58</v>
      </c>
    </row>
    <row r="72" spans="2:13" ht="14.4">
      <c r="B72" s="31" t="s">
        <v>358</v>
      </c>
      <c r="C72" s="31" t="s">
        <v>359</v>
      </c>
      <c r="D72" s="31" t="s">
        <v>360</v>
      </c>
      <c r="E72" s="31" t="s">
        <v>377</v>
      </c>
      <c r="F72" s="31" t="s">
        <v>378</v>
      </c>
      <c r="G72" s="31" t="s">
        <v>379</v>
      </c>
      <c r="H72" s="32" t="s">
        <v>378</v>
      </c>
      <c r="I72" s="32">
        <v>10.5</v>
      </c>
      <c r="J72" s="32">
        <v>10</v>
      </c>
      <c r="K72" s="32">
        <v>7.5</v>
      </c>
      <c r="L72" s="32">
        <v>5</v>
      </c>
      <c r="M72" s="32">
        <v>70</v>
      </c>
    </row>
    <row r="73" spans="2:13" ht="14.4">
      <c r="B73" s="31" t="s">
        <v>358</v>
      </c>
      <c r="C73" s="31" t="s">
        <v>359</v>
      </c>
      <c r="D73" s="31" t="s">
        <v>360</v>
      </c>
      <c r="E73" s="31" t="s">
        <v>380</v>
      </c>
      <c r="F73" s="31" t="s">
        <v>381</v>
      </c>
      <c r="G73" s="31" t="s">
        <v>382</v>
      </c>
      <c r="H73" s="32" t="s">
        <v>381</v>
      </c>
      <c r="I73" s="32">
        <v>10</v>
      </c>
      <c r="J73" s="32">
        <v>10.5</v>
      </c>
      <c r="K73" s="32">
        <v>7</v>
      </c>
      <c r="L73" s="32">
        <v>5</v>
      </c>
      <c r="M73" s="32">
        <v>70</v>
      </c>
    </row>
    <row r="74" spans="2:13" ht="14.4">
      <c r="B74" s="31" t="s">
        <v>358</v>
      </c>
      <c r="C74" s="31" t="s">
        <v>359</v>
      </c>
      <c r="D74" s="31" t="s">
        <v>360</v>
      </c>
      <c r="E74" s="31" t="s">
        <v>383</v>
      </c>
      <c r="F74" s="31" t="s">
        <v>384</v>
      </c>
      <c r="G74" s="31" t="s">
        <v>385</v>
      </c>
      <c r="H74" s="32" t="s">
        <v>384</v>
      </c>
      <c r="I74" s="32">
        <v>8.5</v>
      </c>
      <c r="J74" s="32">
        <v>9</v>
      </c>
      <c r="K74" s="32">
        <v>5</v>
      </c>
      <c r="L74" s="32">
        <v>3</v>
      </c>
      <c r="M74" s="32">
        <v>64</v>
      </c>
    </row>
    <row r="75" spans="2:13">
      <c r="B75" s="25" t="s">
        <v>358</v>
      </c>
      <c r="C75" s="25" t="s">
        <v>359</v>
      </c>
      <c r="D75" s="25" t="s">
        <v>360</v>
      </c>
      <c r="E75" s="25" t="s">
        <v>386</v>
      </c>
      <c r="F75" s="25" t="s">
        <v>387</v>
      </c>
      <c r="G75" s="25" t="s">
        <v>388</v>
      </c>
      <c r="H75" s="25" t="s">
        <v>387</v>
      </c>
      <c r="I75" s="25">
        <v>9</v>
      </c>
      <c r="J75" s="25">
        <v>10</v>
      </c>
      <c r="K75" s="25">
        <v>5.5</v>
      </c>
      <c r="L75" s="25">
        <v>4</v>
      </c>
      <c r="M75" s="25">
        <v>66</v>
      </c>
    </row>
    <row r="76" spans="2:13" ht="14.4">
      <c r="B76" s="31" t="s">
        <v>358</v>
      </c>
      <c r="C76" s="31" t="s">
        <v>359</v>
      </c>
      <c r="D76" s="31" t="s">
        <v>360</v>
      </c>
      <c r="E76" s="31" t="s">
        <v>389</v>
      </c>
      <c r="F76" s="31" t="s">
        <v>390</v>
      </c>
      <c r="G76" s="31" t="s">
        <v>391</v>
      </c>
      <c r="H76" s="32" t="s">
        <v>390</v>
      </c>
      <c r="I76" s="32">
        <v>8</v>
      </c>
      <c r="J76" s="32">
        <v>8.5</v>
      </c>
      <c r="K76" s="32">
        <v>6</v>
      </c>
      <c r="L76" s="32">
        <v>4</v>
      </c>
      <c r="M76" s="32">
        <v>64</v>
      </c>
    </row>
    <row r="77" spans="2:13" ht="14.4">
      <c r="B77" s="31" t="s">
        <v>358</v>
      </c>
      <c r="C77" s="31" t="s">
        <v>359</v>
      </c>
      <c r="D77" s="31" t="s">
        <v>360</v>
      </c>
      <c r="E77" s="31" t="s">
        <v>392</v>
      </c>
      <c r="F77" s="31" t="s">
        <v>393</v>
      </c>
      <c r="G77" s="31" t="s">
        <v>394</v>
      </c>
      <c r="H77" s="32" t="s">
        <v>393</v>
      </c>
      <c r="I77" s="32">
        <v>9.5</v>
      </c>
      <c r="J77" s="32">
        <v>12</v>
      </c>
      <c r="K77" s="32">
        <v>6</v>
      </c>
      <c r="L77" s="32">
        <v>4</v>
      </c>
      <c r="M77" s="32">
        <v>68</v>
      </c>
    </row>
    <row r="78" spans="2:13" ht="14.4">
      <c r="B78" s="31" t="s">
        <v>358</v>
      </c>
      <c r="C78" s="31" t="s">
        <v>359</v>
      </c>
      <c r="D78" s="31" t="s">
        <v>360</v>
      </c>
      <c r="E78" s="31" t="s">
        <v>395</v>
      </c>
      <c r="F78" s="31" t="s">
        <v>396</v>
      </c>
      <c r="G78" s="31" t="s">
        <v>397</v>
      </c>
      <c r="H78" s="32" t="s">
        <v>398</v>
      </c>
      <c r="I78" s="32">
        <v>11.5</v>
      </c>
      <c r="J78" s="32">
        <v>9</v>
      </c>
      <c r="K78" s="32">
        <v>12.5</v>
      </c>
      <c r="L78" s="32">
        <v>8</v>
      </c>
      <c r="M78" s="32">
        <v>74</v>
      </c>
    </row>
    <row r="79" spans="2:13" ht="14.4">
      <c r="B79" s="31" t="s">
        <v>399</v>
      </c>
      <c r="C79" s="31" t="s">
        <v>400</v>
      </c>
      <c r="D79" s="31" t="s">
        <v>401</v>
      </c>
      <c r="E79" s="31" t="s">
        <v>402</v>
      </c>
      <c r="F79" s="31" t="s">
        <v>403</v>
      </c>
      <c r="G79" s="31" t="s">
        <v>404</v>
      </c>
      <c r="H79" s="32" t="s">
        <v>403</v>
      </c>
      <c r="I79" s="32">
        <v>12</v>
      </c>
      <c r="J79" s="32">
        <v>12</v>
      </c>
      <c r="K79" s="32">
        <v>5</v>
      </c>
      <c r="L79" s="32">
        <v>3</v>
      </c>
      <c r="M79" s="32">
        <v>68</v>
      </c>
    </row>
    <row r="80" spans="2:13" ht="14.4">
      <c r="B80" s="31" t="s">
        <v>399</v>
      </c>
      <c r="C80" s="31" t="s">
        <v>400</v>
      </c>
      <c r="D80" s="31" t="s">
        <v>401</v>
      </c>
      <c r="E80" s="31" t="s">
        <v>405</v>
      </c>
      <c r="F80" s="31" t="s">
        <v>406</v>
      </c>
      <c r="G80" s="31" t="s">
        <v>407</v>
      </c>
      <c r="H80" s="32" t="s">
        <v>406</v>
      </c>
      <c r="I80" s="32">
        <v>13</v>
      </c>
      <c r="J80" s="32">
        <v>17</v>
      </c>
      <c r="K80" s="32">
        <v>5.5</v>
      </c>
      <c r="L80" s="32">
        <v>4</v>
      </c>
      <c r="M80" s="32">
        <v>72</v>
      </c>
    </row>
    <row r="81" spans="2:13" ht="14.4">
      <c r="B81" s="31" t="s">
        <v>399</v>
      </c>
      <c r="C81" s="31" t="s">
        <v>400</v>
      </c>
      <c r="D81" s="31" t="s">
        <v>401</v>
      </c>
      <c r="E81" s="31" t="s">
        <v>408</v>
      </c>
      <c r="F81" s="31" t="s">
        <v>409</v>
      </c>
      <c r="G81" s="31" t="s">
        <v>410</v>
      </c>
      <c r="H81" s="32" t="s">
        <v>409</v>
      </c>
      <c r="I81" s="32">
        <v>15</v>
      </c>
      <c r="J81" s="32">
        <v>18.5</v>
      </c>
      <c r="K81" s="32">
        <v>7.5</v>
      </c>
      <c r="L81" s="32">
        <v>5</v>
      </c>
      <c r="M81" s="32">
        <v>76</v>
      </c>
    </row>
    <row r="82" spans="2:13" ht="14.4">
      <c r="B82" s="31" t="s">
        <v>399</v>
      </c>
      <c r="C82" s="31" t="s">
        <v>400</v>
      </c>
      <c r="D82" s="31" t="s">
        <v>401</v>
      </c>
      <c r="E82" s="31" t="s">
        <v>411</v>
      </c>
      <c r="F82" s="31" t="s">
        <v>412</v>
      </c>
      <c r="G82" s="31" t="s">
        <v>413</v>
      </c>
      <c r="H82" s="32" t="s">
        <v>412</v>
      </c>
      <c r="I82" s="32">
        <v>10</v>
      </c>
      <c r="J82" s="32">
        <v>10.5</v>
      </c>
      <c r="K82" s="32">
        <v>4.5</v>
      </c>
      <c r="L82" s="32">
        <v>2</v>
      </c>
      <c r="M82" s="32">
        <v>64</v>
      </c>
    </row>
    <row r="83" spans="2:13" ht="14.4">
      <c r="B83" s="31" t="s">
        <v>399</v>
      </c>
      <c r="C83" s="31" t="s">
        <v>400</v>
      </c>
      <c r="D83" s="31" t="s">
        <v>401</v>
      </c>
      <c r="E83" s="31" t="s">
        <v>414</v>
      </c>
      <c r="F83" s="31" t="s">
        <v>415</v>
      </c>
      <c r="G83" s="31" t="s">
        <v>416</v>
      </c>
      <c r="H83" s="32" t="s">
        <v>415</v>
      </c>
      <c r="I83" s="32">
        <v>10.5</v>
      </c>
      <c r="J83" s="32">
        <v>11</v>
      </c>
      <c r="K83" s="32">
        <v>5</v>
      </c>
      <c r="L83" s="32">
        <v>3</v>
      </c>
      <c r="M83" s="32">
        <v>66</v>
      </c>
    </row>
    <row r="84" spans="2:13" ht="14.4">
      <c r="B84" s="31" t="s">
        <v>399</v>
      </c>
      <c r="C84" s="31" t="s">
        <v>400</v>
      </c>
      <c r="D84" s="31" t="s">
        <v>401</v>
      </c>
      <c r="E84" s="31" t="s">
        <v>417</v>
      </c>
      <c r="F84" s="31" t="s">
        <v>418</v>
      </c>
      <c r="G84" s="31" t="s">
        <v>419</v>
      </c>
      <c r="H84" s="32" t="s">
        <v>418</v>
      </c>
      <c r="I84" s="32">
        <v>12</v>
      </c>
      <c r="J84" s="32">
        <v>14</v>
      </c>
      <c r="K84" s="32">
        <v>6.5</v>
      </c>
      <c r="L84" s="32">
        <v>4</v>
      </c>
      <c r="M84" s="32">
        <v>72</v>
      </c>
    </row>
    <row r="85" spans="2:13" ht="14.4">
      <c r="B85" s="31" t="s">
        <v>399</v>
      </c>
      <c r="C85" s="31" t="s">
        <v>400</v>
      </c>
      <c r="D85" s="31" t="s">
        <v>401</v>
      </c>
      <c r="E85" s="31" t="s">
        <v>420</v>
      </c>
      <c r="F85" s="31" t="s">
        <v>421</v>
      </c>
      <c r="G85" s="31" t="s">
        <v>422</v>
      </c>
      <c r="H85" s="32" t="s">
        <v>421</v>
      </c>
      <c r="I85" s="32">
        <v>9</v>
      </c>
      <c r="J85" s="32">
        <v>10</v>
      </c>
      <c r="K85" s="32">
        <v>5</v>
      </c>
      <c r="L85" s="32">
        <v>3</v>
      </c>
      <c r="M85" s="32">
        <v>64</v>
      </c>
    </row>
    <row r="86" spans="2:13" ht="14.4">
      <c r="B86" s="31" t="s">
        <v>399</v>
      </c>
      <c r="C86" s="31" t="s">
        <v>400</v>
      </c>
      <c r="D86" s="31" t="s">
        <v>401</v>
      </c>
      <c r="E86" s="31" t="s">
        <v>423</v>
      </c>
      <c r="F86" s="31" t="s">
        <v>424</v>
      </c>
      <c r="G86" s="31" t="s">
        <v>425</v>
      </c>
      <c r="H86" s="32" t="s">
        <v>424</v>
      </c>
      <c r="I86" s="32">
        <v>11</v>
      </c>
      <c r="J86" s="32">
        <v>16</v>
      </c>
      <c r="K86" s="32">
        <v>7</v>
      </c>
      <c r="L86" s="32">
        <v>5</v>
      </c>
      <c r="M86" s="32">
        <v>72</v>
      </c>
    </row>
    <row r="87" spans="2:13" ht="14.4">
      <c r="B87" s="31" t="s">
        <v>399</v>
      </c>
      <c r="C87" s="31" t="s">
        <v>400</v>
      </c>
      <c r="D87" s="31" t="s">
        <v>401</v>
      </c>
      <c r="E87" s="31" t="s">
        <v>426</v>
      </c>
      <c r="F87" s="31" t="s">
        <v>427</v>
      </c>
      <c r="G87" s="31" t="s">
        <v>428</v>
      </c>
      <c r="H87" s="32" t="s">
        <v>427</v>
      </c>
      <c r="I87" s="32">
        <v>12.5</v>
      </c>
      <c r="J87" s="32">
        <v>16</v>
      </c>
      <c r="K87" s="32">
        <v>8</v>
      </c>
      <c r="L87" s="32">
        <v>6</v>
      </c>
      <c r="M87" s="32">
        <v>74</v>
      </c>
    </row>
    <row r="88" spans="2:13" ht="14.4">
      <c r="B88" s="31" t="s">
        <v>399</v>
      </c>
      <c r="C88" s="31" t="s">
        <v>400</v>
      </c>
      <c r="D88" s="31" t="s">
        <v>401</v>
      </c>
      <c r="E88" s="31" t="s">
        <v>429</v>
      </c>
      <c r="F88" s="31" t="s">
        <v>430</v>
      </c>
      <c r="G88" s="31" t="s">
        <v>431</v>
      </c>
      <c r="H88" s="32" t="s">
        <v>430</v>
      </c>
      <c r="I88" s="32">
        <v>14</v>
      </c>
      <c r="J88" s="32">
        <v>17.5</v>
      </c>
      <c r="K88" s="32">
        <v>9.5</v>
      </c>
      <c r="L88" s="32">
        <v>6</v>
      </c>
      <c r="M88" s="32">
        <v>76</v>
      </c>
    </row>
    <row r="89" spans="2:13" ht="14.4">
      <c r="B89" s="31" t="s">
        <v>399</v>
      </c>
      <c r="C89" s="31" t="s">
        <v>400</v>
      </c>
      <c r="D89" s="31" t="s">
        <v>401</v>
      </c>
      <c r="E89" s="31" t="s">
        <v>432</v>
      </c>
      <c r="F89" s="31" t="s">
        <v>433</v>
      </c>
      <c r="G89" s="31" t="s">
        <v>434</v>
      </c>
      <c r="H89" s="32" t="s">
        <v>435</v>
      </c>
      <c r="I89" s="32">
        <v>10</v>
      </c>
      <c r="J89" s="32">
        <v>13</v>
      </c>
      <c r="K89" s="32">
        <v>5.5</v>
      </c>
      <c r="L89" s="32">
        <v>4</v>
      </c>
      <c r="M89" s="32">
        <v>68</v>
      </c>
    </row>
    <row r="90" spans="2:13" ht="14.4">
      <c r="B90" s="31" t="s">
        <v>399</v>
      </c>
      <c r="C90" s="31" t="s">
        <v>400</v>
      </c>
      <c r="D90" s="31" t="s">
        <v>401</v>
      </c>
      <c r="E90" s="31" t="s">
        <v>436</v>
      </c>
      <c r="F90" s="31" t="s">
        <v>437</v>
      </c>
      <c r="G90" s="31" t="s">
        <v>438</v>
      </c>
      <c r="H90" s="32" t="s">
        <v>439</v>
      </c>
      <c r="I90" s="32">
        <v>11</v>
      </c>
      <c r="J90" s="32">
        <v>15</v>
      </c>
      <c r="K90" s="32">
        <v>10</v>
      </c>
      <c r="L90" s="32">
        <v>6</v>
      </c>
      <c r="M90" s="32">
        <v>72</v>
      </c>
    </row>
    <row r="91" spans="2:13" ht="14.4">
      <c r="B91" s="31" t="s">
        <v>440</v>
      </c>
      <c r="C91" s="31" t="s">
        <v>441</v>
      </c>
      <c r="D91" s="31" t="s">
        <v>442</v>
      </c>
      <c r="E91" s="31" t="s">
        <v>443</v>
      </c>
      <c r="F91" s="31" t="s">
        <v>444</v>
      </c>
      <c r="G91" s="31" t="s">
        <v>445</v>
      </c>
      <c r="H91" s="32" t="s">
        <v>444</v>
      </c>
      <c r="I91" s="32">
        <v>8</v>
      </c>
      <c r="J91" s="32">
        <v>3</v>
      </c>
      <c r="K91" s="32">
        <v>3</v>
      </c>
      <c r="L91" s="32">
        <v>1</v>
      </c>
      <c r="M91" s="32">
        <v>52</v>
      </c>
    </row>
    <row r="92" spans="2:13" ht="14.4">
      <c r="B92" s="31" t="s">
        <v>440</v>
      </c>
      <c r="C92" s="31" t="s">
        <v>441</v>
      </c>
      <c r="D92" s="31" t="s">
        <v>442</v>
      </c>
      <c r="E92" s="31" t="s">
        <v>446</v>
      </c>
      <c r="F92" s="31" t="s">
        <v>447</v>
      </c>
      <c r="G92" s="31" t="s">
        <v>448</v>
      </c>
      <c r="H92" s="32" t="s">
        <v>449</v>
      </c>
      <c r="I92" s="32">
        <v>10</v>
      </c>
      <c r="J92" s="32">
        <v>8</v>
      </c>
      <c r="K92" s="32">
        <v>5</v>
      </c>
      <c r="L92" s="32">
        <v>3</v>
      </c>
      <c r="M92" s="32">
        <v>64</v>
      </c>
    </row>
    <row r="93" spans="2:13" ht="14.4">
      <c r="B93" s="31" t="s">
        <v>440</v>
      </c>
      <c r="C93" s="31" t="s">
        <v>441</v>
      </c>
      <c r="D93" s="31" t="s">
        <v>442</v>
      </c>
      <c r="E93" s="31" t="s">
        <v>450</v>
      </c>
      <c r="F93" s="31" t="s">
        <v>451</v>
      </c>
      <c r="G93" s="31" t="s">
        <v>452</v>
      </c>
      <c r="H93" s="32" t="s">
        <v>451</v>
      </c>
      <c r="I93" s="32">
        <v>8.5</v>
      </c>
      <c r="J93" s="32">
        <v>7</v>
      </c>
      <c r="K93" s="32">
        <v>5</v>
      </c>
      <c r="L93" s="32">
        <v>3</v>
      </c>
      <c r="M93" s="32">
        <v>62</v>
      </c>
    </row>
    <row r="94" spans="2:13" ht="14.4">
      <c r="B94" s="31" t="s">
        <v>440</v>
      </c>
      <c r="C94" s="31" t="s">
        <v>441</v>
      </c>
      <c r="D94" s="31" t="s">
        <v>442</v>
      </c>
      <c r="E94" s="31" t="s">
        <v>453</v>
      </c>
      <c r="F94" s="31" t="s">
        <v>454</v>
      </c>
      <c r="G94" s="31" t="s">
        <v>455</v>
      </c>
      <c r="H94" s="32" t="s">
        <v>454</v>
      </c>
      <c r="I94" s="32">
        <v>10</v>
      </c>
      <c r="J94" s="32">
        <v>12</v>
      </c>
      <c r="K94" s="32">
        <v>5</v>
      </c>
      <c r="L94" s="32">
        <v>3</v>
      </c>
      <c r="M94" s="32">
        <v>68</v>
      </c>
    </row>
    <row r="95" spans="2:13" ht="14.4">
      <c r="B95" s="31" t="s">
        <v>440</v>
      </c>
      <c r="C95" s="31" t="s">
        <v>441</v>
      </c>
      <c r="D95" s="31" t="s">
        <v>442</v>
      </c>
      <c r="E95" s="31" t="s">
        <v>456</v>
      </c>
      <c r="F95" s="31" t="s">
        <v>457</v>
      </c>
      <c r="G95" s="31" t="s">
        <v>458</v>
      </c>
      <c r="H95" s="32" t="s">
        <v>457</v>
      </c>
      <c r="I95" s="32">
        <v>9</v>
      </c>
      <c r="J95" s="32">
        <v>9</v>
      </c>
      <c r="K95" s="32">
        <v>4.5</v>
      </c>
      <c r="L95" s="32">
        <v>2</v>
      </c>
      <c r="M95" s="32">
        <v>62</v>
      </c>
    </row>
    <row r="96" spans="2:13" ht="14.4">
      <c r="B96" s="31" t="s">
        <v>440</v>
      </c>
      <c r="C96" s="31" t="s">
        <v>441</v>
      </c>
      <c r="D96" s="31" t="s">
        <v>442</v>
      </c>
      <c r="E96" s="31" t="s">
        <v>459</v>
      </c>
      <c r="F96" s="31" t="s">
        <v>460</v>
      </c>
      <c r="G96" s="31" t="s">
        <v>461</v>
      </c>
      <c r="H96" s="32" t="s">
        <v>460</v>
      </c>
      <c r="I96" s="32">
        <v>9</v>
      </c>
      <c r="J96" s="32">
        <v>9.5</v>
      </c>
      <c r="K96" s="32">
        <v>5</v>
      </c>
      <c r="L96" s="32">
        <v>3</v>
      </c>
      <c r="M96" s="32">
        <v>64</v>
      </c>
    </row>
    <row r="97" spans="2:13" ht="14.4">
      <c r="B97" s="31" t="s">
        <v>440</v>
      </c>
      <c r="C97" s="31" t="s">
        <v>441</v>
      </c>
      <c r="D97" s="31" t="s">
        <v>442</v>
      </c>
      <c r="E97" s="31" t="s">
        <v>462</v>
      </c>
      <c r="F97" s="31" t="s">
        <v>463</v>
      </c>
      <c r="G97" s="31" t="s">
        <v>464</v>
      </c>
      <c r="H97" s="32" t="s">
        <v>463</v>
      </c>
      <c r="I97" s="32">
        <v>8.5</v>
      </c>
      <c r="J97" s="32">
        <v>8.5</v>
      </c>
      <c r="K97" s="32">
        <v>4.5</v>
      </c>
      <c r="L97" s="32">
        <v>3</v>
      </c>
      <c r="M97" s="32">
        <v>62</v>
      </c>
    </row>
    <row r="98" spans="2:13" ht="14.4">
      <c r="B98" s="31" t="s">
        <v>440</v>
      </c>
      <c r="C98" s="31" t="s">
        <v>441</v>
      </c>
      <c r="D98" s="31" t="s">
        <v>442</v>
      </c>
      <c r="E98" s="31" t="s">
        <v>465</v>
      </c>
      <c r="F98" s="31" t="s">
        <v>466</v>
      </c>
      <c r="G98" s="31" t="s">
        <v>467</v>
      </c>
      <c r="H98" s="32" t="s">
        <v>468</v>
      </c>
      <c r="I98" s="32">
        <v>11</v>
      </c>
      <c r="J98" s="32">
        <v>14</v>
      </c>
      <c r="K98" s="32">
        <v>15</v>
      </c>
      <c r="L98" s="32">
        <v>10</v>
      </c>
      <c r="M98" s="32">
        <v>74</v>
      </c>
    </row>
    <row r="99" spans="2:13" ht="14.4">
      <c r="B99" s="31" t="s">
        <v>440</v>
      </c>
      <c r="C99" s="31" t="s">
        <v>441</v>
      </c>
      <c r="D99" s="31" t="s">
        <v>442</v>
      </c>
      <c r="E99" s="31" t="s">
        <v>469</v>
      </c>
      <c r="F99" s="31" t="s">
        <v>470</v>
      </c>
      <c r="G99" s="31" t="s">
        <v>471</v>
      </c>
      <c r="H99" s="32" t="s">
        <v>470</v>
      </c>
      <c r="I99" s="32">
        <v>12</v>
      </c>
      <c r="J99" s="32">
        <v>18</v>
      </c>
      <c r="K99" s="32">
        <v>14</v>
      </c>
      <c r="L99" s="32">
        <v>10</v>
      </c>
      <c r="M99" s="32">
        <v>76</v>
      </c>
    </row>
    <row r="100" spans="2:13" ht="14.4">
      <c r="B100" s="31" t="s">
        <v>440</v>
      </c>
      <c r="C100" s="31" t="s">
        <v>441</v>
      </c>
      <c r="D100" s="31" t="s">
        <v>442</v>
      </c>
      <c r="E100" s="31" t="s">
        <v>472</v>
      </c>
      <c r="F100" s="31" t="s">
        <v>473</v>
      </c>
      <c r="G100" s="31" t="s">
        <v>474</v>
      </c>
      <c r="H100" s="32" t="s">
        <v>473</v>
      </c>
      <c r="I100" s="32">
        <v>10</v>
      </c>
      <c r="J100" s="32">
        <v>8</v>
      </c>
      <c r="K100" s="32">
        <v>6.5</v>
      </c>
      <c r="L100" s="32">
        <v>4</v>
      </c>
      <c r="M100" s="32">
        <v>66</v>
      </c>
    </row>
    <row r="101" spans="2:13" ht="14.4">
      <c r="B101" s="31" t="s">
        <v>440</v>
      </c>
      <c r="C101" s="31" t="s">
        <v>441</v>
      </c>
      <c r="D101" s="31" t="s">
        <v>442</v>
      </c>
      <c r="E101" s="31" t="s">
        <v>475</v>
      </c>
      <c r="F101" s="31" t="s">
        <v>476</v>
      </c>
      <c r="G101" s="31" t="s">
        <v>477</v>
      </c>
      <c r="H101" s="32" t="s">
        <v>476</v>
      </c>
      <c r="I101" s="32">
        <v>9.5</v>
      </c>
      <c r="J101" s="32">
        <v>13</v>
      </c>
      <c r="K101" s="32">
        <v>6</v>
      </c>
      <c r="L101" s="32">
        <v>4</v>
      </c>
      <c r="M101" s="32">
        <v>68</v>
      </c>
    </row>
    <row r="102" spans="2:13" ht="14.4">
      <c r="B102" s="31" t="s">
        <v>440</v>
      </c>
      <c r="C102" s="31" t="s">
        <v>441</v>
      </c>
      <c r="D102" s="31" t="s">
        <v>442</v>
      </c>
      <c r="E102" s="31" t="s">
        <v>478</v>
      </c>
      <c r="F102" s="31" t="s">
        <v>479</v>
      </c>
      <c r="G102" s="31" t="s">
        <v>480</v>
      </c>
      <c r="H102" s="32" t="s">
        <v>479</v>
      </c>
      <c r="I102" s="32">
        <v>9</v>
      </c>
      <c r="J102" s="32">
        <v>10</v>
      </c>
      <c r="K102" s="32">
        <v>4</v>
      </c>
      <c r="L102" s="32">
        <v>2</v>
      </c>
      <c r="M102" s="32">
        <v>62</v>
      </c>
    </row>
    <row r="103" spans="2:13" ht="14.4">
      <c r="B103" s="31" t="s">
        <v>481</v>
      </c>
      <c r="C103" s="31" t="s">
        <v>482</v>
      </c>
      <c r="D103" s="31" t="s">
        <v>483</v>
      </c>
      <c r="E103" s="31" t="s">
        <v>484</v>
      </c>
      <c r="F103" s="31" t="s">
        <v>485</v>
      </c>
      <c r="G103" s="31" t="s">
        <v>486</v>
      </c>
      <c r="H103" s="32" t="s">
        <v>485</v>
      </c>
      <c r="I103" s="32">
        <v>10</v>
      </c>
      <c r="J103" s="32">
        <v>15</v>
      </c>
      <c r="K103" s="32">
        <v>7.5</v>
      </c>
      <c r="L103" s="32">
        <v>5</v>
      </c>
      <c r="M103" s="32">
        <v>72</v>
      </c>
    </row>
    <row r="104" spans="2:13" ht="14.4">
      <c r="B104" s="31" t="s">
        <v>481</v>
      </c>
      <c r="C104" s="31" t="s">
        <v>482</v>
      </c>
      <c r="D104" s="31" t="s">
        <v>483</v>
      </c>
      <c r="E104" s="31" t="s">
        <v>487</v>
      </c>
      <c r="F104" s="31" t="s">
        <v>488</v>
      </c>
      <c r="G104" s="31" t="s">
        <v>489</v>
      </c>
      <c r="H104" s="32" t="s">
        <v>488</v>
      </c>
      <c r="I104" s="32">
        <v>9</v>
      </c>
      <c r="J104" s="32">
        <v>20</v>
      </c>
      <c r="K104" s="32">
        <v>6.5</v>
      </c>
      <c r="L104" s="32">
        <v>4</v>
      </c>
      <c r="M104" s="32">
        <v>72</v>
      </c>
    </row>
    <row r="105" spans="2:13" ht="14.4">
      <c r="B105" s="31" t="s">
        <v>481</v>
      </c>
      <c r="C105" s="31" t="s">
        <v>482</v>
      </c>
      <c r="D105" s="31" t="s">
        <v>483</v>
      </c>
      <c r="E105" s="31" t="s">
        <v>490</v>
      </c>
      <c r="F105" s="31" t="s">
        <v>491</v>
      </c>
      <c r="G105" s="31" t="s">
        <v>492</v>
      </c>
      <c r="H105" s="32" t="s">
        <v>491</v>
      </c>
      <c r="I105" s="32">
        <v>8.5</v>
      </c>
      <c r="J105" s="32">
        <v>16</v>
      </c>
      <c r="K105" s="32">
        <v>6</v>
      </c>
      <c r="L105" s="32">
        <v>4</v>
      </c>
      <c r="M105" s="32">
        <v>70</v>
      </c>
    </row>
    <row r="106" spans="2:13" ht="14.4">
      <c r="B106" s="31" t="s">
        <v>481</v>
      </c>
      <c r="C106" s="31" t="s">
        <v>482</v>
      </c>
      <c r="D106" s="31" t="s">
        <v>483</v>
      </c>
      <c r="E106" s="31" t="s">
        <v>493</v>
      </c>
      <c r="F106" s="31" t="s">
        <v>494</v>
      </c>
      <c r="G106" s="31" t="s">
        <v>495</v>
      </c>
      <c r="H106" s="32" t="s">
        <v>494</v>
      </c>
      <c r="I106" s="32">
        <v>11</v>
      </c>
      <c r="J106" s="32">
        <v>17</v>
      </c>
      <c r="K106" s="32">
        <v>7.5</v>
      </c>
      <c r="L106" s="32">
        <v>5</v>
      </c>
      <c r="M106" s="32">
        <v>74</v>
      </c>
    </row>
    <row r="107" spans="2:13" ht="14.4">
      <c r="B107" s="31" t="s">
        <v>481</v>
      </c>
      <c r="C107" s="31" t="s">
        <v>482</v>
      </c>
      <c r="D107" s="31" t="s">
        <v>483</v>
      </c>
      <c r="E107" s="31" t="s">
        <v>496</v>
      </c>
      <c r="F107" s="31" t="s">
        <v>497</v>
      </c>
      <c r="G107" s="31" t="s">
        <v>498</v>
      </c>
      <c r="H107" s="32" t="s">
        <v>497</v>
      </c>
      <c r="I107" s="32">
        <v>8.5</v>
      </c>
      <c r="J107" s="32">
        <v>16</v>
      </c>
      <c r="K107" s="32">
        <v>7</v>
      </c>
      <c r="L107" s="32">
        <v>5</v>
      </c>
      <c r="M107" s="32">
        <v>70</v>
      </c>
    </row>
    <row r="108" spans="2:13" ht="14.4">
      <c r="B108" s="31" t="s">
        <v>481</v>
      </c>
      <c r="C108" s="31" t="s">
        <v>482</v>
      </c>
      <c r="D108" s="31" t="s">
        <v>483</v>
      </c>
      <c r="E108" s="31" t="s">
        <v>499</v>
      </c>
      <c r="F108" s="31" t="s">
        <v>500</v>
      </c>
      <c r="G108" s="31" t="s">
        <v>501</v>
      </c>
      <c r="H108" s="32" t="s">
        <v>500</v>
      </c>
      <c r="I108" s="32">
        <v>9</v>
      </c>
      <c r="J108" s="32">
        <v>13</v>
      </c>
      <c r="K108" s="32">
        <v>8</v>
      </c>
      <c r="L108" s="32">
        <v>5</v>
      </c>
      <c r="M108" s="32">
        <v>70</v>
      </c>
    </row>
    <row r="109" spans="2:13" ht="14.4">
      <c r="B109" s="31" t="s">
        <v>481</v>
      </c>
      <c r="C109" s="31" t="s">
        <v>482</v>
      </c>
      <c r="D109" s="31" t="s">
        <v>483</v>
      </c>
      <c r="E109" s="31" t="s">
        <v>502</v>
      </c>
      <c r="F109" s="31" t="s">
        <v>503</v>
      </c>
      <c r="G109" s="31" t="s">
        <v>504</v>
      </c>
      <c r="H109" s="32" t="s">
        <v>503</v>
      </c>
      <c r="I109" s="32">
        <v>9</v>
      </c>
      <c r="J109" s="32">
        <v>14</v>
      </c>
      <c r="K109" s="32">
        <v>9</v>
      </c>
      <c r="L109" s="32">
        <v>6</v>
      </c>
      <c r="M109" s="32">
        <v>72</v>
      </c>
    </row>
    <row r="110" spans="2:13" ht="14.4">
      <c r="B110" s="31" t="s">
        <v>481</v>
      </c>
      <c r="C110" s="31" t="s">
        <v>482</v>
      </c>
      <c r="D110" s="31" t="s">
        <v>483</v>
      </c>
      <c r="E110" s="31" t="s">
        <v>505</v>
      </c>
      <c r="F110" s="31" t="s">
        <v>506</v>
      </c>
      <c r="G110" s="31" t="s">
        <v>507</v>
      </c>
      <c r="H110" s="32" t="s">
        <v>506</v>
      </c>
      <c r="I110" s="32">
        <v>15</v>
      </c>
      <c r="J110" s="32">
        <v>18.5</v>
      </c>
      <c r="K110" s="32">
        <v>8.5</v>
      </c>
      <c r="L110" s="32">
        <v>6</v>
      </c>
      <c r="M110" s="32">
        <v>78</v>
      </c>
    </row>
    <row r="111" spans="2:13" ht="14.4">
      <c r="B111" s="31" t="s">
        <v>481</v>
      </c>
      <c r="C111" s="31" t="s">
        <v>482</v>
      </c>
      <c r="D111" s="31" t="s">
        <v>483</v>
      </c>
      <c r="E111" s="31" t="s">
        <v>508</v>
      </c>
      <c r="F111" s="31" t="s">
        <v>509</v>
      </c>
      <c r="G111" s="31" t="s">
        <v>510</v>
      </c>
      <c r="H111" s="32" t="s">
        <v>509</v>
      </c>
      <c r="I111" s="32">
        <v>15</v>
      </c>
      <c r="J111" s="32">
        <v>28.5</v>
      </c>
      <c r="K111" s="32">
        <v>7.5</v>
      </c>
      <c r="L111" s="32">
        <v>5</v>
      </c>
      <c r="M111" s="32">
        <v>80</v>
      </c>
    </row>
    <row r="112" spans="2:13" ht="14.4">
      <c r="B112" s="31" t="s">
        <v>481</v>
      </c>
      <c r="C112" s="31" t="s">
        <v>482</v>
      </c>
      <c r="D112" s="31" t="s">
        <v>483</v>
      </c>
      <c r="E112" s="31" t="s">
        <v>511</v>
      </c>
      <c r="F112" s="31" t="s">
        <v>512</v>
      </c>
      <c r="G112" s="31" t="s">
        <v>513</v>
      </c>
      <c r="H112" s="32" t="s">
        <v>512</v>
      </c>
      <c r="I112" s="32">
        <v>12</v>
      </c>
      <c r="J112" s="32">
        <v>20</v>
      </c>
      <c r="K112" s="32">
        <v>9</v>
      </c>
      <c r="L112" s="32">
        <v>6</v>
      </c>
      <c r="M112" s="32">
        <v>76</v>
      </c>
    </row>
    <row r="113" spans="2:13" ht="14.4">
      <c r="B113" s="31" t="s">
        <v>481</v>
      </c>
      <c r="C113" s="31" t="s">
        <v>482</v>
      </c>
      <c r="D113" s="31" t="s">
        <v>483</v>
      </c>
      <c r="E113" s="31" t="s">
        <v>514</v>
      </c>
      <c r="F113" s="31" t="s">
        <v>515</v>
      </c>
      <c r="G113" s="31" t="s">
        <v>516</v>
      </c>
      <c r="H113" s="32" t="s">
        <v>515</v>
      </c>
      <c r="I113" s="32">
        <v>15</v>
      </c>
      <c r="J113" s="32">
        <v>23</v>
      </c>
      <c r="K113" s="32">
        <v>15</v>
      </c>
      <c r="L113" s="32">
        <v>10</v>
      </c>
      <c r="M113" s="32">
        <v>82</v>
      </c>
    </row>
    <row r="114" spans="2:13" ht="14.4">
      <c r="B114" s="31" t="s">
        <v>481</v>
      </c>
      <c r="C114" s="31" t="s">
        <v>482</v>
      </c>
      <c r="D114" s="31" t="s">
        <v>483</v>
      </c>
      <c r="E114" s="31" t="s">
        <v>517</v>
      </c>
      <c r="F114" s="31" t="s">
        <v>518</v>
      </c>
      <c r="G114" s="31" t="s">
        <v>519</v>
      </c>
      <c r="H114" s="32" t="s">
        <v>518</v>
      </c>
      <c r="I114" s="32">
        <v>10</v>
      </c>
      <c r="J114" s="32">
        <v>17</v>
      </c>
      <c r="K114" s="32">
        <v>8</v>
      </c>
      <c r="L114" s="32">
        <v>6</v>
      </c>
      <c r="M114" s="32">
        <v>74</v>
      </c>
    </row>
    <row r="115" spans="2:13" ht="14.4">
      <c r="B115" s="31" t="s">
        <v>520</v>
      </c>
      <c r="C115" s="31" t="s">
        <v>521</v>
      </c>
      <c r="D115" s="31" t="s">
        <v>522</v>
      </c>
      <c r="E115" s="31" t="s">
        <v>523</v>
      </c>
      <c r="F115" s="31" t="s">
        <v>524</v>
      </c>
      <c r="G115" s="31" t="s">
        <v>525</v>
      </c>
      <c r="H115" s="32" t="s">
        <v>524</v>
      </c>
      <c r="I115" s="32">
        <v>8</v>
      </c>
      <c r="J115" s="32">
        <v>20</v>
      </c>
      <c r="K115" s="32">
        <v>5</v>
      </c>
      <c r="L115" s="32">
        <v>3</v>
      </c>
      <c r="M115" s="32">
        <v>68</v>
      </c>
    </row>
    <row r="116" spans="2:13" ht="14.4">
      <c r="B116" s="31" t="s">
        <v>520</v>
      </c>
      <c r="C116" s="31" t="s">
        <v>521</v>
      </c>
      <c r="D116" s="31" t="s">
        <v>522</v>
      </c>
      <c r="E116" s="31" t="s">
        <v>526</v>
      </c>
      <c r="F116" s="31" t="s">
        <v>527</v>
      </c>
      <c r="G116" s="31" t="s">
        <v>528</v>
      </c>
      <c r="H116" s="32" t="s">
        <v>527</v>
      </c>
      <c r="I116" s="32">
        <v>8.5</v>
      </c>
      <c r="J116" s="32">
        <v>22</v>
      </c>
      <c r="K116" s="32">
        <v>5.5</v>
      </c>
      <c r="L116" s="32">
        <v>3</v>
      </c>
      <c r="M116" s="32">
        <v>70</v>
      </c>
    </row>
    <row r="117" spans="2:13" ht="14.4">
      <c r="B117" s="31" t="s">
        <v>520</v>
      </c>
      <c r="C117" s="31" t="s">
        <v>521</v>
      </c>
      <c r="D117" s="31" t="s">
        <v>522</v>
      </c>
      <c r="E117" s="31" t="s">
        <v>529</v>
      </c>
      <c r="F117" s="31" t="s">
        <v>530</v>
      </c>
      <c r="G117" s="31" t="s">
        <v>531</v>
      </c>
      <c r="H117" s="32" t="s">
        <v>530</v>
      </c>
      <c r="I117" s="32">
        <v>9.5</v>
      </c>
      <c r="J117" s="32">
        <v>18</v>
      </c>
      <c r="K117" s="32">
        <v>7</v>
      </c>
      <c r="L117" s="32">
        <v>5</v>
      </c>
      <c r="M117" s="32">
        <v>72</v>
      </c>
    </row>
    <row r="118" spans="2:13" ht="14.4">
      <c r="B118" s="31" t="s">
        <v>520</v>
      </c>
      <c r="C118" s="31" t="s">
        <v>521</v>
      </c>
      <c r="D118" s="31" t="s">
        <v>522</v>
      </c>
      <c r="E118" s="31" t="s">
        <v>532</v>
      </c>
      <c r="F118" s="31" t="s">
        <v>533</v>
      </c>
      <c r="G118" s="31" t="s">
        <v>534</v>
      </c>
      <c r="H118" s="32" t="s">
        <v>533</v>
      </c>
      <c r="I118" s="32">
        <v>8</v>
      </c>
      <c r="J118" s="32">
        <v>11</v>
      </c>
      <c r="K118" s="32">
        <v>6.5</v>
      </c>
      <c r="L118" s="32">
        <v>4</v>
      </c>
      <c r="M118" s="32">
        <v>66</v>
      </c>
    </row>
    <row r="119" spans="2:13" ht="14.4">
      <c r="B119" s="31" t="s">
        <v>520</v>
      </c>
      <c r="C119" s="31" t="s">
        <v>521</v>
      </c>
      <c r="D119" s="31" t="s">
        <v>522</v>
      </c>
      <c r="E119" s="31" t="s">
        <v>535</v>
      </c>
      <c r="F119" s="31" t="s">
        <v>536</v>
      </c>
      <c r="G119" s="31" t="s">
        <v>537</v>
      </c>
      <c r="H119" s="32" t="s">
        <v>536</v>
      </c>
      <c r="I119" s="32">
        <v>7</v>
      </c>
      <c r="J119" s="32">
        <v>14</v>
      </c>
      <c r="K119" s="32">
        <v>5</v>
      </c>
      <c r="L119" s="32">
        <v>3</v>
      </c>
      <c r="M119" s="32">
        <v>64</v>
      </c>
    </row>
    <row r="120" spans="2:13" ht="14.4">
      <c r="B120" s="31" t="s">
        <v>520</v>
      </c>
      <c r="C120" s="31" t="s">
        <v>521</v>
      </c>
      <c r="D120" s="31" t="s">
        <v>522</v>
      </c>
      <c r="E120" s="31" t="s">
        <v>538</v>
      </c>
      <c r="F120" s="31" t="s">
        <v>539</v>
      </c>
      <c r="G120" s="31" t="s">
        <v>540</v>
      </c>
      <c r="H120" s="32" t="s">
        <v>539</v>
      </c>
      <c r="I120" s="32">
        <v>7.5</v>
      </c>
      <c r="J120" s="32">
        <v>12</v>
      </c>
      <c r="K120" s="32">
        <v>5.5</v>
      </c>
      <c r="L120" s="32">
        <v>4</v>
      </c>
      <c r="M120" s="32">
        <v>66</v>
      </c>
    </row>
    <row r="121" spans="2:13" ht="14.4">
      <c r="B121" s="31" t="s">
        <v>520</v>
      </c>
      <c r="C121" s="31" t="s">
        <v>521</v>
      </c>
      <c r="D121" s="31" t="s">
        <v>522</v>
      </c>
      <c r="E121" s="31" t="s">
        <v>541</v>
      </c>
      <c r="F121" s="31" t="s">
        <v>542</v>
      </c>
      <c r="G121" s="31" t="s">
        <v>543</v>
      </c>
      <c r="H121" s="32" t="s">
        <v>542</v>
      </c>
      <c r="I121" s="32">
        <v>9.5</v>
      </c>
      <c r="J121" s="32">
        <v>16</v>
      </c>
      <c r="K121" s="32">
        <v>8</v>
      </c>
      <c r="L121" s="32">
        <v>5</v>
      </c>
      <c r="M121" s="32">
        <v>70</v>
      </c>
    </row>
    <row r="122" spans="2:13" ht="14.4">
      <c r="B122" s="31" t="s">
        <v>520</v>
      </c>
      <c r="C122" s="31" t="s">
        <v>521</v>
      </c>
      <c r="D122" s="31" t="s">
        <v>522</v>
      </c>
      <c r="E122" s="31" t="s">
        <v>544</v>
      </c>
      <c r="F122" s="31" t="s">
        <v>545</v>
      </c>
      <c r="G122" s="31" t="s">
        <v>546</v>
      </c>
      <c r="H122" s="32" t="s">
        <v>545</v>
      </c>
      <c r="I122" s="32">
        <v>9</v>
      </c>
      <c r="J122" s="32">
        <v>18</v>
      </c>
      <c r="K122" s="32">
        <v>9</v>
      </c>
      <c r="L122" s="32">
        <v>6</v>
      </c>
      <c r="M122" s="32">
        <v>72</v>
      </c>
    </row>
    <row r="123" spans="2:13" ht="14.4">
      <c r="B123" s="31" t="s">
        <v>520</v>
      </c>
      <c r="C123" s="31" t="s">
        <v>521</v>
      </c>
      <c r="D123" s="31" t="s">
        <v>522</v>
      </c>
      <c r="E123" s="31" t="s">
        <v>547</v>
      </c>
      <c r="F123" s="31" t="s">
        <v>548</v>
      </c>
      <c r="G123" s="31" t="s">
        <v>549</v>
      </c>
      <c r="H123" s="32" t="s">
        <v>548</v>
      </c>
      <c r="I123" s="32">
        <v>9</v>
      </c>
      <c r="J123" s="32">
        <v>13</v>
      </c>
      <c r="K123" s="32">
        <v>7.5</v>
      </c>
      <c r="L123" s="32">
        <v>5</v>
      </c>
      <c r="M123" s="32">
        <v>70</v>
      </c>
    </row>
    <row r="124" spans="2:13" ht="14.4">
      <c r="B124" s="31" t="s">
        <v>520</v>
      </c>
      <c r="C124" s="31" t="s">
        <v>521</v>
      </c>
      <c r="D124" s="31" t="s">
        <v>522</v>
      </c>
      <c r="E124" s="31" t="s">
        <v>550</v>
      </c>
      <c r="F124" s="31" t="s">
        <v>551</v>
      </c>
      <c r="G124" s="31" t="s">
        <v>552</v>
      </c>
      <c r="H124" s="32" t="s">
        <v>551</v>
      </c>
      <c r="I124" s="32">
        <v>8.5</v>
      </c>
      <c r="J124" s="32">
        <v>14</v>
      </c>
      <c r="K124" s="32">
        <v>6</v>
      </c>
      <c r="L124" s="32">
        <v>4</v>
      </c>
      <c r="M124" s="32">
        <v>68</v>
      </c>
    </row>
    <row r="125" spans="2:13" ht="14.4">
      <c r="B125" s="31" t="s">
        <v>520</v>
      </c>
      <c r="C125" s="31" t="s">
        <v>521</v>
      </c>
      <c r="D125" s="31" t="s">
        <v>522</v>
      </c>
      <c r="E125" s="31" t="s">
        <v>553</v>
      </c>
      <c r="F125" s="31" t="s">
        <v>554</v>
      </c>
      <c r="G125" s="31" t="s">
        <v>555</v>
      </c>
      <c r="H125" s="32" t="s">
        <v>556</v>
      </c>
      <c r="I125" s="32">
        <v>11.5</v>
      </c>
      <c r="J125" s="32">
        <v>18</v>
      </c>
      <c r="K125" s="32">
        <v>15</v>
      </c>
      <c r="L125" s="32">
        <v>10</v>
      </c>
      <c r="M125" s="32">
        <v>78</v>
      </c>
    </row>
    <row r="126" spans="2:13" ht="14.4">
      <c r="B126" s="31" t="s">
        <v>520</v>
      </c>
      <c r="C126" s="31" t="s">
        <v>521</v>
      </c>
      <c r="D126" s="31" t="s">
        <v>522</v>
      </c>
      <c r="E126" s="31" t="s">
        <v>557</v>
      </c>
      <c r="F126" s="31" t="s">
        <v>558</v>
      </c>
      <c r="G126" s="31" t="s">
        <v>559</v>
      </c>
      <c r="H126" s="32" t="s">
        <v>558</v>
      </c>
      <c r="I126" s="32">
        <v>8.5</v>
      </c>
      <c r="J126" s="32">
        <v>13</v>
      </c>
      <c r="K126" s="32">
        <v>7</v>
      </c>
      <c r="L126" s="32">
        <v>5</v>
      </c>
      <c r="M126" s="32">
        <v>68</v>
      </c>
    </row>
    <row r="127" spans="2:13" ht="14.4">
      <c r="B127" s="31" t="s">
        <v>560</v>
      </c>
      <c r="C127" s="31" t="s">
        <v>561</v>
      </c>
      <c r="D127" s="31" t="s">
        <v>562</v>
      </c>
      <c r="E127" s="31" t="s">
        <v>563</v>
      </c>
      <c r="F127" s="31" t="s">
        <v>564</v>
      </c>
      <c r="G127" s="31" t="s">
        <v>565</v>
      </c>
      <c r="H127" s="32" t="s">
        <v>564</v>
      </c>
      <c r="I127" s="32">
        <v>13</v>
      </c>
      <c r="J127" s="32">
        <v>30</v>
      </c>
      <c r="K127" s="32">
        <v>8.5</v>
      </c>
      <c r="L127" s="32">
        <v>6</v>
      </c>
      <c r="M127" s="32">
        <v>78</v>
      </c>
    </row>
    <row r="128" spans="2:13" ht="14.4">
      <c r="B128" s="31" t="s">
        <v>560</v>
      </c>
      <c r="C128" s="31" t="s">
        <v>561</v>
      </c>
      <c r="D128" s="31" t="s">
        <v>562</v>
      </c>
      <c r="E128" s="31" t="s">
        <v>566</v>
      </c>
      <c r="F128" s="31" t="s">
        <v>567</v>
      </c>
      <c r="G128" s="31" t="s">
        <v>568</v>
      </c>
      <c r="H128" s="32" t="s">
        <v>567</v>
      </c>
      <c r="I128" s="32">
        <v>12.5</v>
      </c>
      <c r="J128" s="32">
        <v>24</v>
      </c>
      <c r="K128" s="32">
        <v>7.5</v>
      </c>
      <c r="L128" s="32">
        <v>5</v>
      </c>
      <c r="M128" s="32">
        <v>76</v>
      </c>
    </row>
    <row r="129" spans="2:13" ht="14.4">
      <c r="B129" s="31" t="s">
        <v>560</v>
      </c>
      <c r="C129" s="31" t="s">
        <v>561</v>
      </c>
      <c r="D129" s="31" t="s">
        <v>562</v>
      </c>
      <c r="E129" s="31" t="s">
        <v>569</v>
      </c>
      <c r="F129" s="31" t="s">
        <v>570</v>
      </c>
      <c r="G129" s="31" t="s">
        <v>570</v>
      </c>
      <c r="H129" s="32" t="s">
        <v>570</v>
      </c>
      <c r="I129" s="32">
        <v>10</v>
      </c>
      <c r="J129" s="32">
        <v>21.5</v>
      </c>
      <c r="K129" s="32">
        <v>6.5</v>
      </c>
      <c r="L129" s="32">
        <v>4</v>
      </c>
      <c r="M129" s="32">
        <v>72</v>
      </c>
    </row>
    <row r="130" spans="2:13" ht="14.4">
      <c r="B130" s="31" t="s">
        <v>560</v>
      </c>
      <c r="C130" s="31" t="s">
        <v>561</v>
      </c>
      <c r="D130" s="31" t="s">
        <v>562</v>
      </c>
      <c r="E130" s="31" t="s">
        <v>571</v>
      </c>
      <c r="F130" s="31" t="s">
        <v>572</v>
      </c>
      <c r="G130" s="31" t="s">
        <v>573</v>
      </c>
      <c r="H130" s="32" t="s">
        <v>572</v>
      </c>
      <c r="I130" s="32">
        <v>12</v>
      </c>
      <c r="J130" s="32">
        <v>22</v>
      </c>
      <c r="K130" s="32">
        <v>12</v>
      </c>
      <c r="L130" s="32">
        <v>8</v>
      </c>
      <c r="M130" s="32">
        <v>78</v>
      </c>
    </row>
    <row r="131" spans="2:13" ht="14.4">
      <c r="B131" s="31" t="s">
        <v>560</v>
      </c>
      <c r="C131" s="31" t="s">
        <v>561</v>
      </c>
      <c r="D131" s="31" t="s">
        <v>562</v>
      </c>
      <c r="E131" s="31" t="s">
        <v>574</v>
      </c>
      <c r="F131" s="31" t="s">
        <v>575</v>
      </c>
      <c r="G131" s="31" t="s">
        <v>576</v>
      </c>
      <c r="H131" s="32" t="s">
        <v>575</v>
      </c>
      <c r="I131" s="32">
        <v>11</v>
      </c>
      <c r="J131" s="32">
        <v>20</v>
      </c>
      <c r="K131" s="32">
        <v>14</v>
      </c>
      <c r="L131" s="32">
        <v>10</v>
      </c>
      <c r="M131" s="32">
        <v>78</v>
      </c>
    </row>
    <row r="132" spans="2:13" ht="14.4">
      <c r="B132" s="31" t="s">
        <v>560</v>
      </c>
      <c r="C132" s="31" t="s">
        <v>561</v>
      </c>
      <c r="D132" s="31" t="s">
        <v>562</v>
      </c>
      <c r="E132" s="31" t="s">
        <v>577</v>
      </c>
      <c r="F132" s="31" t="s">
        <v>578</v>
      </c>
      <c r="G132" s="31" t="s">
        <v>579</v>
      </c>
      <c r="H132" s="32" t="s">
        <v>578</v>
      </c>
      <c r="I132" s="32">
        <v>10</v>
      </c>
      <c r="J132" s="32">
        <v>24</v>
      </c>
      <c r="K132" s="32">
        <v>6</v>
      </c>
      <c r="L132" s="32">
        <v>4</v>
      </c>
      <c r="M132" s="32">
        <v>72</v>
      </c>
    </row>
    <row r="133" spans="2:13" ht="14.4">
      <c r="B133" s="31" t="s">
        <v>560</v>
      </c>
      <c r="C133" s="31" t="s">
        <v>561</v>
      </c>
      <c r="D133" s="31" t="s">
        <v>562</v>
      </c>
      <c r="E133" s="31" t="s">
        <v>580</v>
      </c>
      <c r="F133" s="31" t="s">
        <v>581</v>
      </c>
      <c r="G133" s="31" t="s">
        <v>582</v>
      </c>
      <c r="H133" s="32" t="s">
        <v>581</v>
      </c>
      <c r="I133" s="32">
        <v>11.5</v>
      </c>
      <c r="J133" s="32">
        <v>22</v>
      </c>
      <c r="K133" s="32">
        <v>8</v>
      </c>
      <c r="L133" s="32">
        <v>6</v>
      </c>
      <c r="M133" s="32">
        <v>76</v>
      </c>
    </row>
    <row r="134" spans="2:13" ht="14.4">
      <c r="B134" s="31" t="s">
        <v>560</v>
      </c>
      <c r="C134" s="31" t="s">
        <v>561</v>
      </c>
      <c r="D134" s="31" t="s">
        <v>562</v>
      </c>
      <c r="E134" s="31" t="s">
        <v>583</v>
      </c>
      <c r="F134" s="31" t="s">
        <v>584</v>
      </c>
      <c r="G134" s="31" t="s">
        <v>585</v>
      </c>
      <c r="H134" s="32" t="s">
        <v>584</v>
      </c>
      <c r="I134" s="32">
        <v>8.5</v>
      </c>
      <c r="J134" s="32">
        <v>14</v>
      </c>
      <c r="K134" s="32">
        <v>5</v>
      </c>
      <c r="L134" s="32">
        <v>3</v>
      </c>
      <c r="M134" s="32">
        <v>66</v>
      </c>
    </row>
    <row r="135" spans="2:13" ht="14.4">
      <c r="B135" s="31" t="s">
        <v>560</v>
      </c>
      <c r="C135" s="31" t="s">
        <v>561</v>
      </c>
      <c r="D135" s="31" t="s">
        <v>562</v>
      </c>
      <c r="E135" s="31" t="s">
        <v>586</v>
      </c>
      <c r="F135" s="31" t="s">
        <v>587</v>
      </c>
      <c r="G135" s="31" t="s">
        <v>588</v>
      </c>
      <c r="H135" s="32" t="s">
        <v>587</v>
      </c>
      <c r="I135" s="32">
        <v>15</v>
      </c>
      <c r="J135" s="32">
        <v>25</v>
      </c>
      <c r="K135" s="32">
        <v>18.5</v>
      </c>
      <c r="L135" s="32">
        <v>12</v>
      </c>
      <c r="M135" s="32">
        <v>84</v>
      </c>
    </row>
    <row r="136" spans="2:13" ht="14.4">
      <c r="B136" s="31" t="s">
        <v>560</v>
      </c>
      <c r="C136" s="31" t="s">
        <v>561</v>
      </c>
      <c r="D136" s="31" t="s">
        <v>562</v>
      </c>
      <c r="E136" s="31" t="s">
        <v>589</v>
      </c>
      <c r="F136" s="31" t="s">
        <v>590</v>
      </c>
      <c r="G136" s="31" t="s">
        <v>591</v>
      </c>
      <c r="H136" s="32" t="s">
        <v>590</v>
      </c>
      <c r="I136" s="32">
        <v>10.5</v>
      </c>
      <c r="J136" s="32">
        <v>20</v>
      </c>
      <c r="K136" s="32">
        <v>7</v>
      </c>
      <c r="L136" s="32">
        <v>5</v>
      </c>
      <c r="M136" s="32">
        <v>74</v>
      </c>
    </row>
    <row r="137" spans="2:13" ht="14.4">
      <c r="B137" s="31" t="s">
        <v>592</v>
      </c>
      <c r="C137" s="31" t="s">
        <v>593</v>
      </c>
      <c r="D137" s="31" t="s">
        <v>594</v>
      </c>
      <c r="E137" s="31" t="s">
        <v>595</v>
      </c>
      <c r="F137" s="31" t="s">
        <v>596</v>
      </c>
      <c r="G137" s="31" t="s">
        <v>597</v>
      </c>
      <c r="H137" s="32" t="s">
        <v>596</v>
      </c>
      <c r="I137" s="32">
        <v>10.5</v>
      </c>
      <c r="J137" s="32">
        <v>16</v>
      </c>
      <c r="K137" s="32">
        <v>10</v>
      </c>
      <c r="L137" s="32">
        <v>6</v>
      </c>
      <c r="M137" s="32">
        <v>72</v>
      </c>
    </row>
    <row r="138" spans="2:13" ht="14.4">
      <c r="B138" s="31" t="s">
        <v>592</v>
      </c>
      <c r="C138" s="31" t="s">
        <v>593</v>
      </c>
      <c r="D138" s="31" t="s">
        <v>594</v>
      </c>
      <c r="E138" s="31" t="s">
        <v>598</v>
      </c>
      <c r="F138" s="31" t="s">
        <v>599</v>
      </c>
      <c r="G138" s="31" t="s">
        <v>600</v>
      </c>
      <c r="H138" s="32" t="s">
        <v>599</v>
      </c>
      <c r="I138" s="32">
        <v>9.5</v>
      </c>
      <c r="J138" s="32">
        <v>14</v>
      </c>
      <c r="K138" s="32">
        <v>5.5</v>
      </c>
      <c r="L138" s="32">
        <v>4</v>
      </c>
      <c r="M138" s="32">
        <v>68</v>
      </c>
    </row>
    <row r="139" spans="2:13" ht="14.4">
      <c r="B139" s="31" t="s">
        <v>592</v>
      </c>
      <c r="C139" s="31" t="s">
        <v>593</v>
      </c>
      <c r="D139" s="31" t="s">
        <v>594</v>
      </c>
      <c r="E139" s="31" t="s">
        <v>601</v>
      </c>
      <c r="F139" s="31" t="s">
        <v>602</v>
      </c>
      <c r="G139" s="31" t="s">
        <v>603</v>
      </c>
      <c r="H139" s="32" t="s">
        <v>604</v>
      </c>
      <c r="I139" s="32">
        <v>10</v>
      </c>
      <c r="J139" s="32">
        <v>15</v>
      </c>
      <c r="K139" s="32">
        <v>6.5</v>
      </c>
      <c r="L139" s="32">
        <v>4</v>
      </c>
      <c r="M139" s="32">
        <v>70</v>
      </c>
    </row>
    <row r="140" spans="2:13" ht="14.4">
      <c r="B140" s="31" t="s">
        <v>592</v>
      </c>
      <c r="C140" s="31" t="s">
        <v>593</v>
      </c>
      <c r="D140" s="31" t="s">
        <v>594</v>
      </c>
      <c r="E140" s="31" t="s">
        <v>605</v>
      </c>
      <c r="F140" s="31" t="s">
        <v>606</v>
      </c>
      <c r="G140" s="31" t="s">
        <v>607</v>
      </c>
      <c r="H140" s="32" t="s">
        <v>608</v>
      </c>
      <c r="I140" s="32">
        <v>9</v>
      </c>
      <c r="J140" s="32">
        <v>14</v>
      </c>
      <c r="K140" s="32">
        <v>7</v>
      </c>
      <c r="L140" s="32">
        <v>5</v>
      </c>
      <c r="M140" s="32">
        <v>70</v>
      </c>
    </row>
    <row r="141" spans="2:13" ht="14.4">
      <c r="B141" s="31" t="s">
        <v>592</v>
      </c>
      <c r="C141" s="31" t="s">
        <v>593</v>
      </c>
      <c r="D141" s="31" t="s">
        <v>594</v>
      </c>
      <c r="E141" s="31" t="s">
        <v>609</v>
      </c>
      <c r="F141" s="31" t="s">
        <v>610</v>
      </c>
      <c r="G141" s="31" t="s">
        <v>611</v>
      </c>
      <c r="H141" s="32" t="s">
        <v>610</v>
      </c>
      <c r="I141" s="32">
        <v>11.5</v>
      </c>
      <c r="J141" s="32">
        <v>24</v>
      </c>
      <c r="K141" s="32">
        <v>6.5</v>
      </c>
      <c r="L141" s="32">
        <v>4</v>
      </c>
      <c r="M141" s="32">
        <v>74</v>
      </c>
    </row>
    <row r="142" spans="2:13" ht="14.4">
      <c r="B142" s="31" t="s">
        <v>592</v>
      </c>
      <c r="C142" s="31" t="s">
        <v>593</v>
      </c>
      <c r="D142" s="31" t="s">
        <v>594</v>
      </c>
      <c r="E142" s="31" t="s">
        <v>612</v>
      </c>
      <c r="F142" s="31" t="s">
        <v>613</v>
      </c>
      <c r="G142" s="31" t="s">
        <v>614</v>
      </c>
      <c r="H142" s="32" t="s">
        <v>613</v>
      </c>
      <c r="I142" s="32">
        <v>12.5</v>
      </c>
      <c r="J142" s="32">
        <v>18.5</v>
      </c>
      <c r="K142" s="32">
        <v>15</v>
      </c>
      <c r="L142" s="32">
        <v>10</v>
      </c>
      <c r="M142" s="32">
        <v>78</v>
      </c>
    </row>
    <row r="143" spans="2:13" ht="14.4">
      <c r="B143" s="31" t="s">
        <v>592</v>
      </c>
      <c r="C143" s="31" t="s">
        <v>593</v>
      </c>
      <c r="D143" s="31" t="s">
        <v>594</v>
      </c>
      <c r="E143" s="31" t="s">
        <v>615</v>
      </c>
      <c r="F143" s="31" t="s">
        <v>616</v>
      </c>
      <c r="G143" s="31" t="s">
        <v>616</v>
      </c>
      <c r="H143" s="32" t="s">
        <v>616</v>
      </c>
      <c r="I143" s="32">
        <v>12</v>
      </c>
      <c r="J143" s="32">
        <v>22</v>
      </c>
      <c r="K143" s="32">
        <v>10</v>
      </c>
      <c r="L143" s="32">
        <v>7</v>
      </c>
      <c r="M143" s="32">
        <v>76</v>
      </c>
    </row>
    <row r="144" spans="2:13" ht="14.4">
      <c r="B144" s="31" t="s">
        <v>592</v>
      </c>
      <c r="C144" s="31" t="s">
        <v>593</v>
      </c>
      <c r="D144" s="31" t="s">
        <v>594</v>
      </c>
      <c r="E144" s="31" t="s">
        <v>617</v>
      </c>
      <c r="F144" s="31" t="s">
        <v>618</v>
      </c>
      <c r="G144" s="31" t="s">
        <v>619</v>
      </c>
      <c r="H144" s="32" t="s">
        <v>618</v>
      </c>
      <c r="I144" s="32">
        <v>15</v>
      </c>
      <c r="J144" s="32">
        <v>30</v>
      </c>
      <c r="K144" s="32">
        <v>18.5</v>
      </c>
      <c r="L144" s="32">
        <v>12</v>
      </c>
      <c r="M144" s="32">
        <v>84</v>
      </c>
    </row>
    <row r="145" spans="2:13" ht="14.4">
      <c r="B145" s="31" t="s">
        <v>592</v>
      </c>
      <c r="C145" s="31" t="s">
        <v>593</v>
      </c>
      <c r="D145" s="31" t="s">
        <v>594</v>
      </c>
      <c r="E145" s="31" t="s">
        <v>620</v>
      </c>
      <c r="F145" s="31" t="s">
        <v>621</v>
      </c>
      <c r="G145" s="31" t="s">
        <v>622</v>
      </c>
      <c r="H145" s="32" t="s">
        <v>621</v>
      </c>
      <c r="I145" s="32">
        <v>10</v>
      </c>
      <c r="J145" s="32">
        <v>18</v>
      </c>
      <c r="K145" s="32">
        <v>8</v>
      </c>
      <c r="L145" s="32">
        <v>6</v>
      </c>
      <c r="M145" s="32">
        <v>72</v>
      </c>
    </row>
    <row r="146" spans="2:13" ht="14.4">
      <c r="B146" s="31" t="s">
        <v>592</v>
      </c>
      <c r="C146" s="31" t="s">
        <v>593</v>
      </c>
      <c r="D146" s="31" t="s">
        <v>594</v>
      </c>
      <c r="E146" s="31" t="s">
        <v>623</v>
      </c>
      <c r="F146" s="31" t="s">
        <v>624</v>
      </c>
      <c r="G146" s="31" t="s">
        <v>625</v>
      </c>
      <c r="H146" s="32" t="s">
        <v>624</v>
      </c>
      <c r="I146" s="32">
        <v>11</v>
      </c>
      <c r="J146" s="32">
        <v>20</v>
      </c>
      <c r="K146" s="32">
        <v>12</v>
      </c>
      <c r="L146" s="32">
        <v>8</v>
      </c>
      <c r="M146" s="32">
        <v>76</v>
      </c>
    </row>
    <row r="147" spans="2:13" ht="14.4">
      <c r="B147" s="31" t="s">
        <v>626</v>
      </c>
      <c r="C147" s="31" t="s">
        <v>627</v>
      </c>
      <c r="D147" s="31" t="s">
        <v>628</v>
      </c>
      <c r="E147" s="31" t="s">
        <v>629</v>
      </c>
      <c r="F147" s="31" t="s">
        <v>630</v>
      </c>
      <c r="G147" s="31" t="s">
        <v>631</v>
      </c>
      <c r="H147" s="32" t="s">
        <v>630</v>
      </c>
      <c r="I147" s="32">
        <v>7</v>
      </c>
      <c r="J147" s="32">
        <v>6.5</v>
      </c>
      <c r="K147" s="32">
        <v>4</v>
      </c>
      <c r="L147" s="32">
        <v>2</v>
      </c>
      <c r="M147" s="32">
        <v>56</v>
      </c>
    </row>
    <row r="148" spans="2:13" ht="14.4">
      <c r="B148" s="31" t="s">
        <v>626</v>
      </c>
      <c r="C148" s="31" t="s">
        <v>627</v>
      </c>
      <c r="D148" s="31" t="s">
        <v>628</v>
      </c>
      <c r="E148" s="31" t="s">
        <v>632</v>
      </c>
      <c r="F148" s="31" t="s">
        <v>633</v>
      </c>
      <c r="G148" s="31" t="s">
        <v>634</v>
      </c>
      <c r="H148" s="32" t="s">
        <v>633</v>
      </c>
      <c r="I148" s="32">
        <v>8</v>
      </c>
      <c r="J148" s="32">
        <v>10</v>
      </c>
      <c r="K148" s="32">
        <v>6</v>
      </c>
      <c r="L148" s="32">
        <v>4</v>
      </c>
      <c r="M148" s="32">
        <v>64</v>
      </c>
    </row>
    <row r="149" spans="2:13" ht="14.4">
      <c r="B149" s="31" t="s">
        <v>626</v>
      </c>
      <c r="C149" s="31" t="s">
        <v>627</v>
      </c>
      <c r="D149" s="31" t="s">
        <v>628</v>
      </c>
      <c r="E149" s="31" t="s">
        <v>635</v>
      </c>
      <c r="F149" s="31" t="s">
        <v>636</v>
      </c>
      <c r="G149" s="31" t="s">
        <v>637</v>
      </c>
      <c r="H149" s="32" t="s">
        <v>636</v>
      </c>
      <c r="I149" s="32">
        <v>7.5</v>
      </c>
      <c r="J149" s="32">
        <v>7.5</v>
      </c>
      <c r="K149" s="32">
        <v>4.5</v>
      </c>
      <c r="L149" s="32">
        <v>2</v>
      </c>
      <c r="M149" s="32">
        <v>58</v>
      </c>
    </row>
    <row r="150" spans="2:13" ht="14.4">
      <c r="B150" s="31" t="s">
        <v>626</v>
      </c>
      <c r="C150" s="31" t="s">
        <v>627</v>
      </c>
      <c r="D150" s="31" t="s">
        <v>628</v>
      </c>
      <c r="E150" s="31" t="s">
        <v>638</v>
      </c>
      <c r="F150" s="31" t="s">
        <v>639</v>
      </c>
      <c r="G150" s="31" t="s">
        <v>640</v>
      </c>
      <c r="H150" s="32" t="s">
        <v>639</v>
      </c>
      <c r="I150" s="32">
        <v>8</v>
      </c>
      <c r="J150" s="32">
        <v>9</v>
      </c>
      <c r="K150" s="32">
        <v>4.5</v>
      </c>
      <c r="L150" s="32">
        <v>3</v>
      </c>
      <c r="M150" s="32">
        <v>62</v>
      </c>
    </row>
    <row r="151" spans="2:13" ht="14.4">
      <c r="B151" s="31" t="s">
        <v>626</v>
      </c>
      <c r="C151" s="31" t="s">
        <v>627</v>
      </c>
      <c r="D151" s="31" t="s">
        <v>628</v>
      </c>
      <c r="E151" s="31" t="s">
        <v>641</v>
      </c>
      <c r="F151" s="31" t="s">
        <v>642</v>
      </c>
      <c r="G151" s="31" t="s">
        <v>643</v>
      </c>
      <c r="H151" s="32" t="s">
        <v>642</v>
      </c>
      <c r="I151" s="32">
        <v>10</v>
      </c>
      <c r="J151" s="32">
        <v>12</v>
      </c>
      <c r="K151" s="32">
        <v>5</v>
      </c>
      <c r="L151" s="32">
        <v>3</v>
      </c>
      <c r="M151" s="32">
        <v>66</v>
      </c>
    </row>
    <row r="152" spans="2:13" ht="14.4">
      <c r="B152" s="31" t="s">
        <v>626</v>
      </c>
      <c r="C152" s="31" t="s">
        <v>627</v>
      </c>
      <c r="D152" s="31" t="s">
        <v>628</v>
      </c>
      <c r="E152" s="31" t="s">
        <v>644</v>
      </c>
      <c r="F152" s="31" t="s">
        <v>645</v>
      </c>
      <c r="G152" s="31" t="s">
        <v>646</v>
      </c>
      <c r="H152" s="32" t="s">
        <v>645</v>
      </c>
      <c r="I152" s="32">
        <v>12.5</v>
      </c>
      <c r="J152" s="32">
        <v>24</v>
      </c>
      <c r="K152" s="32">
        <v>5.5</v>
      </c>
      <c r="L152" s="32">
        <v>3</v>
      </c>
      <c r="M152" s="32">
        <v>74</v>
      </c>
    </row>
    <row r="153" spans="2:13" ht="14.4">
      <c r="B153" s="31" t="s">
        <v>626</v>
      </c>
      <c r="C153" s="31" t="s">
        <v>627</v>
      </c>
      <c r="D153" s="31" t="s">
        <v>628</v>
      </c>
      <c r="E153" s="31" t="s">
        <v>647</v>
      </c>
      <c r="F153" s="31" t="s">
        <v>648</v>
      </c>
      <c r="G153" s="31" t="s">
        <v>649</v>
      </c>
      <c r="H153" s="32" t="s">
        <v>648</v>
      </c>
      <c r="I153" s="32">
        <v>8.5</v>
      </c>
      <c r="J153" s="32">
        <v>8.5</v>
      </c>
      <c r="K153" s="32">
        <v>5</v>
      </c>
      <c r="L153" s="32">
        <v>3</v>
      </c>
      <c r="M153" s="32">
        <v>62</v>
      </c>
    </row>
    <row r="154" spans="2:13" ht="14.4">
      <c r="B154" s="31" t="s">
        <v>626</v>
      </c>
      <c r="C154" s="31" t="s">
        <v>627</v>
      </c>
      <c r="D154" s="31" t="s">
        <v>628</v>
      </c>
      <c r="E154" s="31" t="s">
        <v>650</v>
      </c>
      <c r="F154" s="31" t="s">
        <v>651</v>
      </c>
      <c r="G154" s="31" t="s">
        <v>652</v>
      </c>
      <c r="H154" s="32" t="s">
        <v>651</v>
      </c>
      <c r="I154" s="32">
        <v>10.5</v>
      </c>
      <c r="J154" s="32">
        <v>12</v>
      </c>
      <c r="K154" s="32">
        <v>6.5</v>
      </c>
      <c r="L154" s="32">
        <v>4</v>
      </c>
      <c r="M154" s="32">
        <v>70</v>
      </c>
    </row>
    <row r="155" spans="2:13" ht="14.4">
      <c r="B155" s="31" t="s">
        <v>626</v>
      </c>
      <c r="C155" s="31" t="s">
        <v>627</v>
      </c>
      <c r="D155" s="31" t="s">
        <v>628</v>
      </c>
      <c r="E155" s="31" t="s">
        <v>653</v>
      </c>
      <c r="F155" s="31" t="s">
        <v>654</v>
      </c>
      <c r="G155" s="31" t="s">
        <v>655</v>
      </c>
      <c r="H155" s="32" t="s">
        <v>654</v>
      </c>
      <c r="I155" s="32">
        <v>12</v>
      </c>
      <c r="J155" s="32">
        <v>15</v>
      </c>
      <c r="K155" s="32">
        <v>10</v>
      </c>
      <c r="L155" s="32">
        <v>6</v>
      </c>
      <c r="M155" s="32">
        <v>74</v>
      </c>
    </row>
    <row r="156" spans="2:13" ht="14.4">
      <c r="B156" s="31" t="s">
        <v>626</v>
      </c>
      <c r="C156" s="31" t="s">
        <v>627</v>
      </c>
      <c r="D156" s="31" t="s">
        <v>628</v>
      </c>
      <c r="E156" s="31" t="s">
        <v>656</v>
      </c>
      <c r="F156" s="31" t="s">
        <v>657</v>
      </c>
      <c r="G156" s="31" t="s">
        <v>658</v>
      </c>
      <c r="H156" s="32" t="s">
        <v>657</v>
      </c>
      <c r="I156" s="32">
        <v>11</v>
      </c>
      <c r="J156" s="32">
        <v>15</v>
      </c>
      <c r="K156" s="32">
        <v>10</v>
      </c>
      <c r="L156" s="32">
        <v>6</v>
      </c>
      <c r="M156" s="32">
        <v>74</v>
      </c>
    </row>
    <row r="157" spans="2:13" ht="14.4">
      <c r="B157" s="31" t="s">
        <v>659</v>
      </c>
      <c r="C157" s="31" t="s">
        <v>660</v>
      </c>
      <c r="D157" s="31" t="s">
        <v>661</v>
      </c>
      <c r="E157" s="31" t="s">
        <v>662</v>
      </c>
      <c r="F157" s="31" t="s">
        <v>663</v>
      </c>
      <c r="G157" s="31" t="s">
        <v>664</v>
      </c>
      <c r="H157" s="32" t="s">
        <v>663</v>
      </c>
      <c r="I157" s="32">
        <v>11.5</v>
      </c>
      <c r="J157" s="32">
        <v>14</v>
      </c>
      <c r="K157" s="32">
        <v>6</v>
      </c>
      <c r="L157" s="32">
        <v>4</v>
      </c>
      <c r="M157" s="32">
        <v>70</v>
      </c>
    </row>
    <row r="158" spans="2:13" ht="14.4">
      <c r="B158" s="31" t="s">
        <v>659</v>
      </c>
      <c r="C158" s="31" t="s">
        <v>660</v>
      </c>
      <c r="D158" s="31" t="s">
        <v>661</v>
      </c>
      <c r="E158" s="31" t="s">
        <v>665</v>
      </c>
      <c r="F158" s="31" t="s">
        <v>666</v>
      </c>
      <c r="G158" s="31" t="s">
        <v>667</v>
      </c>
      <c r="H158" s="32" t="s">
        <v>666</v>
      </c>
      <c r="I158" s="32">
        <v>11</v>
      </c>
      <c r="J158" s="32">
        <v>15</v>
      </c>
      <c r="K158" s="32">
        <v>5</v>
      </c>
      <c r="L158" s="32">
        <v>3</v>
      </c>
      <c r="M158" s="32">
        <v>68</v>
      </c>
    </row>
    <row r="159" spans="2:13" ht="14.4">
      <c r="B159" s="31" t="s">
        <v>659</v>
      </c>
      <c r="C159" s="31" t="s">
        <v>660</v>
      </c>
      <c r="D159" s="31" t="s">
        <v>661</v>
      </c>
      <c r="E159" s="31" t="s">
        <v>668</v>
      </c>
      <c r="F159" s="31" t="s">
        <v>669</v>
      </c>
      <c r="G159" s="31" t="s">
        <v>670</v>
      </c>
      <c r="H159" s="32" t="s">
        <v>669</v>
      </c>
      <c r="I159" s="32">
        <v>12</v>
      </c>
      <c r="J159" s="32">
        <v>17</v>
      </c>
      <c r="K159" s="32">
        <v>6</v>
      </c>
      <c r="L159" s="32">
        <v>4</v>
      </c>
      <c r="M159" s="32">
        <v>72</v>
      </c>
    </row>
    <row r="160" spans="2:13" ht="14.4">
      <c r="B160" s="31" t="s">
        <v>659</v>
      </c>
      <c r="C160" s="31" t="s">
        <v>660</v>
      </c>
      <c r="D160" s="31" t="s">
        <v>661</v>
      </c>
      <c r="E160" s="31" t="s">
        <v>671</v>
      </c>
      <c r="F160" s="31" t="s">
        <v>672</v>
      </c>
      <c r="G160" s="31" t="s">
        <v>673</v>
      </c>
      <c r="H160" s="32" t="s">
        <v>672</v>
      </c>
      <c r="I160" s="32">
        <v>9</v>
      </c>
      <c r="J160" s="32">
        <v>11</v>
      </c>
      <c r="K160" s="32">
        <v>5</v>
      </c>
      <c r="L160" s="32">
        <v>3</v>
      </c>
      <c r="M160" s="32">
        <v>64</v>
      </c>
    </row>
    <row r="161" spans="2:13" ht="14.4">
      <c r="B161" s="31" t="s">
        <v>659</v>
      </c>
      <c r="C161" s="31" t="s">
        <v>660</v>
      </c>
      <c r="D161" s="31" t="s">
        <v>661</v>
      </c>
      <c r="E161" s="31" t="s">
        <v>674</v>
      </c>
      <c r="F161" s="31" t="s">
        <v>675</v>
      </c>
      <c r="G161" s="31" t="s">
        <v>676</v>
      </c>
      <c r="H161" s="32" t="s">
        <v>675</v>
      </c>
      <c r="I161" s="32">
        <v>12.5</v>
      </c>
      <c r="J161" s="32">
        <v>18</v>
      </c>
      <c r="K161" s="32">
        <v>8.5</v>
      </c>
      <c r="L161" s="32">
        <v>6</v>
      </c>
      <c r="M161" s="32">
        <v>76</v>
      </c>
    </row>
    <row r="162" spans="2:13" ht="14.4">
      <c r="B162" s="31" t="s">
        <v>659</v>
      </c>
      <c r="C162" s="31" t="s">
        <v>660</v>
      </c>
      <c r="D162" s="31" t="s">
        <v>661</v>
      </c>
      <c r="E162" s="31" t="s">
        <v>677</v>
      </c>
      <c r="F162" s="31" t="s">
        <v>678</v>
      </c>
      <c r="G162" s="31" t="s">
        <v>679</v>
      </c>
      <c r="H162" s="32" t="s">
        <v>678</v>
      </c>
      <c r="I162" s="32">
        <v>10</v>
      </c>
      <c r="J162" s="32">
        <v>13</v>
      </c>
      <c r="K162" s="32">
        <v>5.5</v>
      </c>
      <c r="L162" s="32">
        <v>4</v>
      </c>
      <c r="M162" s="32">
        <v>68</v>
      </c>
    </row>
    <row r="163" spans="2:13" ht="14.4">
      <c r="B163" s="31" t="s">
        <v>659</v>
      </c>
      <c r="C163" s="31" t="s">
        <v>660</v>
      </c>
      <c r="D163" s="31" t="s">
        <v>661</v>
      </c>
      <c r="E163" s="31" t="s">
        <v>680</v>
      </c>
      <c r="F163" s="31" t="s">
        <v>681</v>
      </c>
      <c r="G163" s="31" t="s">
        <v>682</v>
      </c>
      <c r="H163" s="32" t="s">
        <v>681</v>
      </c>
      <c r="I163" s="32">
        <v>9.5</v>
      </c>
      <c r="J163" s="32">
        <v>13</v>
      </c>
      <c r="K163" s="32">
        <v>7</v>
      </c>
      <c r="L163" s="32">
        <v>5</v>
      </c>
      <c r="M163" s="32">
        <v>70</v>
      </c>
    </row>
    <row r="164" spans="2:13" ht="14.4">
      <c r="B164" s="31" t="s">
        <v>659</v>
      </c>
      <c r="C164" s="31" t="s">
        <v>660</v>
      </c>
      <c r="D164" s="31" t="s">
        <v>661</v>
      </c>
      <c r="E164" s="31" t="s">
        <v>683</v>
      </c>
      <c r="F164" s="31" t="s">
        <v>684</v>
      </c>
      <c r="G164" s="31" t="s">
        <v>685</v>
      </c>
      <c r="H164" s="32" t="s">
        <v>684</v>
      </c>
      <c r="I164" s="32">
        <v>9</v>
      </c>
      <c r="J164" s="32">
        <v>10.5</v>
      </c>
      <c r="K164" s="32">
        <v>5</v>
      </c>
      <c r="L164" s="32">
        <v>3</v>
      </c>
      <c r="M164" s="32">
        <v>64</v>
      </c>
    </row>
    <row r="165" spans="2:13" ht="14.4">
      <c r="B165" s="31" t="s">
        <v>659</v>
      </c>
      <c r="C165" s="31" t="s">
        <v>660</v>
      </c>
      <c r="D165" s="31" t="s">
        <v>661</v>
      </c>
      <c r="E165" s="31" t="s">
        <v>686</v>
      </c>
      <c r="F165" s="31" t="s">
        <v>687</v>
      </c>
      <c r="G165" s="31" t="s">
        <v>688</v>
      </c>
      <c r="H165" s="32" t="s">
        <v>687</v>
      </c>
      <c r="I165" s="32">
        <v>9</v>
      </c>
      <c r="J165" s="32">
        <v>8</v>
      </c>
      <c r="K165" s="32">
        <v>5</v>
      </c>
      <c r="L165" s="32">
        <v>3</v>
      </c>
      <c r="M165" s="32">
        <v>62</v>
      </c>
    </row>
    <row r="166" spans="2:13" ht="14.4">
      <c r="B166" s="31" t="s">
        <v>659</v>
      </c>
      <c r="C166" s="31" t="s">
        <v>660</v>
      </c>
      <c r="D166" s="31" t="s">
        <v>661</v>
      </c>
      <c r="E166" s="31" t="s">
        <v>689</v>
      </c>
      <c r="F166" s="31" t="s">
        <v>690</v>
      </c>
      <c r="G166" s="31" t="s">
        <v>691</v>
      </c>
      <c r="H166" s="32" t="s">
        <v>690</v>
      </c>
      <c r="I166" s="32">
        <v>11</v>
      </c>
      <c r="J166" s="32">
        <v>15</v>
      </c>
      <c r="K166" s="32">
        <v>7</v>
      </c>
      <c r="L166" s="32">
        <v>5</v>
      </c>
      <c r="M166" s="32">
        <v>72</v>
      </c>
    </row>
    <row r="167" spans="2:13" ht="14.4">
      <c r="B167" s="31" t="s">
        <v>692</v>
      </c>
      <c r="C167" s="31" t="s">
        <v>693</v>
      </c>
      <c r="D167" s="31" t="s">
        <v>694</v>
      </c>
      <c r="E167" s="31" t="s">
        <v>695</v>
      </c>
      <c r="F167" s="31" t="s">
        <v>696</v>
      </c>
      <c r="G167" s="31" t="s">
        <v>697</v>
      </c>
      <c r="H167" s="32" t="s">
        <v>696</v>
      </c>
      <c r="I167" s="32">
        <v>11.5</v>
      </c>
      <c r="J167" s="32">
        <v>21.5</v>
      </c>
      <c r="K167" s="32">
        <v>7.5</v>
      </c>
      <c r="L167" s="32">
        <v>5</v>
      </c>
      <c r="M167" s="32">
        <v>74</v>
      </c>
    </row>
    <row r="168" spans="2:13" ht="14.4">
      <c r="B168" s="31" t="s">
        <v>692</v>
      </c>
      <c r="C168" s="31" t="s">
        <v>693</v>
      </c>
      <c r="D168" s="31" t="s">
        <v>694</v>
      </c>
      <c r="E168" s="31" t="s">
        <v>698</v>
      </c>
      <c r="F168" s="31" t="s">
        <v>699</v>
      </c>
      <c r="G168" s="31" t="s">
        <v>700</v>
      </c>
      <c r="H168" s="32" t="s">
        <v>699</v>
      </c>
      <c r="I168" s="32">
        <v>10.5</v>
      </c>
      <c r="J168" s="32">
        <v>16</v>
      </c>
      <c r="K168" s="32">
        <v>6.5</v>
      </c>
      <c r="L168" s="32">
        <v>4</v>
      </c>
      <c r="M168" s="32">
        <v>70</v>
      </c>
    </row>
    <row r="169" spans="2:13" ht="14.4">
      <c r="B169" s="31" t="s">
        <v>692</v>
      </c>
      <c r="C169" s="31" t="s">
        <v>693</v>
      </c>
      <c r="D169" s="31" t="s">
        <v>694</v>
      </c>
      <c r="E169" s="31" t="s">
        <v>701</v>
      </c>
      <c r="F169" s="31" t="s">
        <v>702</v>
      </c>
      <c r="G169" s="31" t="s">
        <v>703</v>
      </c>
      <c r="H169" s="32" t="s">
        <v>702</v>
      </c>
      <c r="I169" s="32">
        <v>8</v>
      </c>
      <c r="J169" s="32">
        <v>11</v>
      </c>
      <c r="K169" s="32">
        <v>5.5</v>
      </c>
      <c r="L169" s="32">
        <v>3</v>
      </c>
      <c r="M169" s="32">
        <v>64</v>
      </c>
    </row>
    <row r="170" spans="2:13" ht="14.4">
      <c r="B170" s="31" t="s">
        <v>692</v>
      </c>
      <c r="C170" s="31" t="s">
        <v>693</v>
      </c>
      <c r="D170" s="31" t="s">
        <v>694</v>
      </c>
      <c r="E170" s="31" t="s">
        <v>704</v>
      </c>
      <c r="F170" s="31" t="s">
        <v>705</v>
      </c>
      <c r="G170" s="31" t="s">
        <v>706</v>
      </c>
      <c r="H170" s="32" t="s">
        <v>705</v>
      </c>
      <c r="I170" s="32">
        <v>9</v>
      </c>
      <c r="J170" s="32">
        <v>12</v>
      </c>
      <c r="K170" s="32">
        <v>8</v>
      </c>
      <c r="L170" s="32">
        <v>5</v>
      </c>
      <c r="M170" s="32">
        <v>70</v>
      </c>
    </row>
    <row r="171" spans="2:13" ht="14.4">
      <c r="B171" s="31" t="s">
        <v>692</v>
      </c>
      <c r="C171" s="31" t="s">
        <v>693</v>
      </c>
      <c r="D171" s="31" t="s">
        <v>694</v>
      </c>
      <c r="E171" s="31" t="s">
        <v>707</v>
      </c>
      <c r="F171" s="31" t="s">
        <v>708</v>
      </c>
      <c r="G171" s="31" t="s">
        <v>708</v>
      </c>
      <c r="H171" s="32" t="s">
        <v>708</v>
      </c>
      <c r="I171" s="32">
        <v>9.5</v>
      </c>
      <c r="J171" s="32">
        <v>16</v>
      </c>
      <c r="K171" s="32">
        <v>10</v>
      </c>
      <c r="L171" s="32">
        <v>6</v>
      </c>
      <c r="M171" s="32">
        <v>72</v>
      </c>
    </row>
    <row r="172" spans="2:13" ht="14.4">
      <c r="B172" s="31" t="s">
        <v>692</v>
      </c>
      <c r="C172" s="31" t="s">
        <v>693</v>
      </c>
      <c r="D172" s="31" t="s">
        <v>694</v>
      </c>
      <c r="E172" s="31" t="s">
        <v>709</v>
      </c>
      <c r="F172" s="31" t="s">
        <v>710</v>
      </c>
      <c r="G172" s="31" t="s">
        <v>711</v>
      </c>
      <c r="H172" s="32" t="s">
        <v>710</v>
      </c>
      <c r="I172" s="32">
        <v>10.5</v>
      </c>
      <c r="J172" s="32">
        <v>18</v>
      </c>
      <c r="K172" s="32">
        <v>8</v>
      </c>
      <c r="L172" s="32">
        <v>6</v>
      </c>
      <c r="M172" s="32">
        <v>74</v>
      </c>
    </row>
    <row r="173" spans="2:13" ht="14.4">
      <c r="B173" s="31" t="s">
        <v>692</v>
      </c>
      <c r="C173" s="31" t="s">
        <v>693</v>
      </c>
      <c r="D173" s="31" t="s">
        <v>694</v>
      </c>
      <c r="E173" s="31" t="s">
        <v>712</v>
      </c>
      <c r="F173" s="31" t="s">
        <v>713</v>
      </c>
      <c r="G173" s="31" t="s">
        <v>714</v>
      </c>
      <c r="H173" s="32" t="s">
        <v>713</v>
      </c>
      <c r="I173" s="32">
        <v>10</v>
      </c>
      <c r="J173" s="32">
        <v>17</v>
      </c>
      <c r="K173" s="32">
        <v>7</v>
      </c>
      <c r="L173" s="32">
        <v>6</v>
      </c>
      <c r="M173" s="32">
        <v>74</v>
      </c>
    </row>
    <row r="174" spans="2:13" ht="14.4">
      <c r="B174" s="31" t="s">
        <v>692</v>
      </c>
      <c r="C174" s="31" t="s">
        <v>693</v>
      </c>
      <c r="D174" s="31" t="s">
        <v>694</v>
      </c>
      <c r="E174" s="31" t="s">
        <v>715</v>
      </c>
      <c r="F174" s="31" t="s">
        <v>716</v>
      </c>
      <c r="G174" s="31" t="s">
        <v>717</v>
      </c>
      <c r="H174" s="31" t="s">
        <v>716</v>
      </c>
      <c r="I174" s="31">
        <v>12</v>
      </c>
      <c r="J174" s="31">
        <v>20</v>
      </c>
      <c r="K174" s="31">
        <v>12</v>
      </c>
      <c r="L174" s="31">
        <v>10</v>
      </c>
      <c r="M174" s="32">
        <v>70</v>
      </c>
    </row>
    <row r="175" spans="2:13" ht="14.4">
      <c r="B175" s="31" t="s">
        <v>692</v>
      </c>
      <c r="C175" s="31" t="s">
        <v>693</v>
      </c>
      <c r="D175" s="31" t="s">
        <v>694</v>
      </c>
      <c r="E175" s="31" t="s">
        <v>718</v>
      </c>
      <c r="F175" s="31" t="s">
        <v>719</v>
      </c>
      <c r="G175" s="31" t="s">
        <v>719</v>
      </c>
      <c r="H175" s="31" t="s">
        <v>720</v>
      </c>
      <c r="I175" s="32">
        <v>11.5</v>
      </c>
      <c r="J175" s="32">
        <v>18</v>
      </c>
      <c r="K175" s="32">
        <v>15</v>
      </c>
      <c r="L175" s="32">
        <v>10</v>
      </c>
      <c r="M175" s="32">
        <v>78</v>
      </c>
    </row>
    <row r="176" spans="2:13" ht="14.4">
      <c r="B176" s="31" t="s">
        <v>692</v>
      </c>
      <c r="C176" s="31" t="s">
        <v>693</v>
      </c>
      <c r="D176" s="31" t="s">
        <v>694</v>
      </c>
      <c r="E176" s="31" t="s">
        <v>721</v>
      </c>
      <c r="F176" s="31" t="s">
        <v>722</v>
      </c>
      <c r="G176" s="31" t="s">
        <v>723</v>
      </c>
      <c r="H176" s="31" t="s">
        <v>722</v>
      </c>
      <c r="I176" s="32">
        <v>8</v>
      </c>
      <c r="J176" s="32">
        <v>6</v>
      </c>
      <c r="K176" s="32">
        <v>10</v>
      </c>
      <c r="L176" s="32">
        <v>6</v>
      </c>
      <c r="M176" s="32">
        <v>66</v>
      </c>
    </row>
    <row r="177" spans="2:8" ht="14.4">
      <c r="B177" s="31"/>
    </row>
    <row r="178" spans="2:8" ht="14.4">
      <c r="B178" s="31"/>
    </row>
    <row r="179" spans="2:8">
      <c r="B179" s="22" t="s">
        <v>724</v>
      </c>
      <c r="C179" s="23"/>
      <c r="D179" s="23"/>
      <c r="E179" s="24"/>
      <c r="F179" s="24"/>
      <c r="G179" s="24"/>
      <c r="H179" s="24"/>
    </row>
    <row r="180" spans="2:8">
      <c r="B180" s="33"/>
      <c r="C180" s="34"/>
      <c r="D180" s="34"/>
    </row>
    <row r="181" spans="2:8">
      <c r="B181" s="35" t="s">
        <v>36</v>
      </c>
      <c r="C181" s="36" t="s">
        <v>37</v>
      </c>
      <c r="D181" s="34"/>
    </row>
    <row r="182" spans="2:8">
      <c r="B182" s="25" t="s">
        <v>725</v>
      </c>
      <c r="C182" s="37">
        <v>0.2</v>
      </c>
      <c r="D182" s="34"/>
    </row>
    <row r="183" spans="2:8">
      <c r="B183" s="25" t="s">
        <v>41</v>
      </c>
      <c r="C183" s="37">
        <v>0.2</v>
      </c>
      <c r="D183" s="34"/>
    </row>
    <row r="184" spans="2:8">
      <c r="B184" s="25" t="s">
        <v>38</v>
      </c>
      <c r="C184" s="37">
        <v>0.2</v>
      </c>
      <c r="D184" s="34"/>
    </row>
    <row r="185" spans="2:8">
      <c r="B185" s="25" t="s">
        <v>40</v>
      </c>
      <c r="C185" s="37">
        <v>0.1</v>
      </c>
      <c r="D185" s="34"/>
    </row>
    <row r="186" spans="2:8">
      <c r="B186" s="25" t="s">
        <v>39</v>
      </c>
      <c r="C186" s="37">
        <v>0</v>
      </c>
      <c r="D186" s="34"/>
    </row>
    <row r="187" spans="2:8">
      <c r="B187" s="25" t="s">
        <v>726</v>
      </c>
      <c r="C187" s="37">
        <v>-0.1</v>
      </c>
      <c r="D187" s="34"/>
    </row>
    <row r="188" spans="2:8">
      <c r="B188" s="25" t="s">
        <v>727</v>
      </c>
      <c r="C188" s="37">
        <v>-0.2</v>
      </c>
      <c r="D188" s="34"/>
    </row>
    <row r="189" spans="2:8">
      <c r="B189" s="38" t="s">
        <v>42</v>
      </c>
      <c r="C189" s="37">
        <v>-0.2</v>
      </c>
      <c r="D189" s="34"/>
    </row>
    <row r="190" spans="2:8">
      <c r="B190" s="38" t="s">
        <v>43</v>
      </c>
      <c r="C190" s="37">
        <v>-0.2</v>
      </c>
      <c r="D190" s="34"/>
    </row>
    <row r="191" spans="2:8">
      <c r="B191" s="38" t="s">
        <v>44</v>
      </c>
      <c r="C191" s="37">
        <v>-0.3</v>
      </c>
      <c r="D191" s="34"/>
    </row>
    <row r="192" spans="2:8">
      <c r="B192" s="38"/>
      <c r="C192" s="37"/>
      <c r="D192" s="34"/>
    </row>
    <row r="193" spans="2:8">
      <c r="B193" s="33"/>
      <c r="C193" s="34"/>
      <c r="D193" s="34"/>
    </row>
    <row r="194" spans="2:8">
      <c r="B194" s="22" t="s">
        <v>728</v>
      </c>
      <c r="C194" s="23"/>
      <c r="D194" s="23"/>
      <c r="E194" s="24"/>
      <c r="F194" s="24"/>
      <c r="G194" s="24"/>
      <c r="H194" s="24"/>
    </row>
    <row r="195" spans="2:8">
      <c r="B195" s="33"/>
      <c r="C195" s="34"/>
      <c r="D195" s="34"/>
    </row>
    <row r="196" spans="2:8">
      <c r="B196" s="35" t="s">
        <v>45</v>
      </c>
      <c r="C196" s="39" t="s">
        <v>37</v>
      </c>
      <c r="D196" s="34"/>
    </row>
    <row r="197" spans="2:8">
      <c r="B197" s="38">
        <v>0</v>
      </c>
      <c r="C197" s="40">
        <v>-0.5</v>
      </c>
      <c r="D197" s="34"/>
    </row>
    <row r="198" spans="2:8">
      <c r="B198" s="41">
        <v>5000000</v>
      </c>
      <c r="C198" s="40">
        <v>-0.2</v>
      </c>
      <c r="D198" s="34"/>
    </row>
    <row r="199" spans="2:8">
      <c r="B199" s="41">
        <v>15000000</v>
      </c>
      <c r="C199" s="40">
        <v>0</v>
      </c>
      <c r="D199" s="34"/>
    </row>
    <row r="200" spans="2:8">
      <c r="B200" s="41">
        <v>50000000</v>
      </c>
      <c r="C200" s="40">
        <v>0.3</v>
      </c>
      <c r="D200" s="34"/>
    </row>
    <row r="201" spans="2:8">
      <c r="B201" s="41">
        <v>100000000</v>
      </c>
      <c r="C201" s="40">
        <v>0.6</v>
      </c>
      <c r="D201" s="34"/>
    </row>
    <row r="202" spans="2:8">
      <c r="B202" s="33"/>
      <c r="C202" s="34"/>
      <c r="D202" s="34"/>
    </row>
    <row r="203" spans="2:8">
      <c r="B203" s="33"/>
      <c r="C203" s="34"/>
      <c r="D203" s="34"/>
    </row>
    <row r="204" spans="2:8">
      <c r="B204" s="22" t="s">
        <v>729</v>
      </c>
      <c r="C204" s="23"/>
      <c r="D204" s="23"/>
      <c r="E204" s="24"/>
      <c r="F204" s="24"/>
      <c r="G204" s="24"/>
      <c r="H204" s="24"/>
    </row>
    <row r="205" spans="2:8">
      <c r="B205" s="33"/>
      <c r="C205" s="34"/>
      <c r="D205" s="34"/>
    </row>
    <row r="206" spans="2:8">
      <c r="B206" s="42" t="s">
        <v>46</v>
      </c>
      <c r="C206" s="39" t="s">
        <v>37</v>
      </c>
      <c r="D206" s="34"/>
    </row>
    <row r="207" spans="2:8">
      <c r="B207" s="43">
        <v>0</v>
      </c>
      <c r="C207" s="40">
        <v>0.1</v>
      </c>
      <c r="D207" s="34"/>
    </row>
    <row r="208" spans="2:8">
      <c r="B208" s="43">
        <v>30</v>
      </c>
      <c r="C208" s="40">
        <v>0</v>
      </c>
      <c r="D208" s="34"/>
    </row>
    <row r="209" spans="2:8">
      <c r="B209" s="43">
        <v>45</v>
      </c>
      <c r="C209" s="40">
        <v>-0.3</v>
      </c>
      <c r="D209" s="34"/>
    </row>
    <row r="210" spans="2:8">
      <c r="B210" s="43">
        <v>60</v>
      </c>
      <c r="C210" s="40">
        <v>-0.6</v>
      </c>
      <c r="D210" s="34"/>
    </row>
    <row r="211" spans="2:8">
      <c r="B211" s="33"/>
      <c r="C211" s="34"/>
      <c r="D211" s="34"/>
    </row>
    <row r="212" spans="2:8">
      <c r="B212" s="33" t="s">
        <v>47</v>
      </c>
      <c r="C212" s="34"/>
      <c r="D212" s="34"/>
    </row>
    <row r="213" spans="2:8">
      <c r="B213" s="33"/>
      <c r="C213" s="34"/>
      <c r="D213" s="34"/>
    </row>
    <row r="214" spans="2:8">
      <c r="B214" s="22" t="s">
        <v>730</v>
      </c>
      <c r="C214" s="23"/>
      <c r="D214" s="23"/>
      <c r="E214" s="24"/>
      <c r="F214" s="24"/>
      <c r="G214" s="24"/>
      <c r="H214" s="24"/>
    </row>
    <row r="215" spans="2:8">
      <c r="B215" s="33"/>
      <c r="C215" s="34"/>
      <c r="D215" s="34"/>
    </row>
    <row r="216" spans="2:8">
      <c r="B216" s="42" t="s">
        <v>16</v>
      </c>
      <c r="C216" s="39" t="s">
        <v>48</v>
      </c>
      <c r="D216" s="34"/>
    </row>
    <row r="217" spans="2:8">
      <c r="B217" s="43" t="s">
        <v>15</v>
      </c>
      <c r="C217" s="40">
        <v>1</v>
      </c>
      <c r="D217" s="34"/>
    </row>
    <row r="218" spans="2:8">
      <c r="B218" s="43" t="s">
        <v>49</v>
      </c>
      <c r="C218" s="40">
        <v>1.17</v>
      </c>
      <c r="D218" s="34"/>
    </row>
    <row r="219" spans="2:8">
      <c r="B219" s="43" t="s">
        <v>50</v>
      </c>
      <c r="C219" s="40">
        <v>0.93</v>
      </c>
      <c r="D219" s="34"/>
    </row>
    <row r="220" spans="2:8">
      <c r="B220" s="43" t="s">
        <v>51</v>
      </c>
      <c r="C220" s="40">
        <v>1.04</v>
      </c>
      <c r="D220" s="34"/>
    </row>
    <row r="221" spans="2:8">
      <c r="B221" s="43" t="s">
        <v>52</v>
      </c>
      <c r="C221" s="40" t="s">
        <v>52</v>
      </c>
      <c r="D221" s="34"/>
    </row>
    <row r="222" spans="2:8">
      <c r="B222" s="38" t="s">
        <v>53</v>
      </c>
      <c r="C222" s="34"/>
      <c r="D222" s="34"/>
    </row>
    <row r="223" spans="2:8">
      <c r="B223" s="33"/>
      <c r="C223" s="34"/>
      <c r="D223" s="34"/>
    </row>
    <row r="224" spans="2:8">
      <c r="B224" s="22" t="s">
        <v>731</v>
      </c>
      <c r="C224" s="23"/>
      <c r="D224" s="23"/>
      <c r="E224" s="24"/>
      <c r="F224" s="24"/>
      <c r="G224" s="24"/>
      <c r="H224" s="24"/>
    </row>
    <row r="225" spans="2:8">
      <c r="B225" s="33"/>
      <c r="C225" s="34"/>
      <c r="D225" s="34"/>
    </row>
    <row r="226" spans="2:8">
      <c r="B226" s="44" t="s">
        <v>732</v>
      </c>
      <c r="C226" s="45" t="s">
        <v>733</v>
      </c>
      <c r="D226" s="34"/>
    </row>
    <row r="227" spans="2:8">
      <c r="B227" s="46">
        <v>0</v>
      </c>
      <c r="C227" s="47">
        <v>40</v>
      </c>
      <c r="D227" s="34"/>
    </row>
    <row r="228" spans="2:8">
      <c r="B228" s="48">
        <v>5000000</v>
      </c>
      <c r="C228" s="47">
        <v>60</v>
      </c>
      <c r="D228" s="34"/>
    </row>
    <row r="229" spans="2:8">
      <c r="B229" s="48">
        <v>15000000</v>
      </c>
      <c r="C229" s="47">
        <v>75</v>
      </c>
      <c r="D229" s="34"/>
    </row>
    <row r="230" spans="2:8">
      <c r="B230" s="48">
        <v>50000000</v>
      </c>
      <c r="C230" s="47">
        <v>85</v>
      </c>
      <c r="D230" s="34"/>
    </row>
    <row r="231" spans="2:8">
      <c r="B231" s="48">
        <v>100000000</v>
      </c>
      <c r="C231" s="47">
        <v>95</v>
      </c>
      <c r="D231" s="34"/>
    </row>
    <row r="232" spans="2:8">
      <c r="B232" s="33"/>
      <c r="C232" s="34"/>
      <c r="D232" s="34"/>
    </row>
    <row r="233" spans="2:8">
      <c r="B233" s="33"/>
      <c r="C233" s="34"/>
      <c r="D233" s="34"/>
    </row>
    <row r="234" spans="2:8">
      <c r="B234" s="22" t="s">
        <v>734</v>
      </c>
      <c r="C234" s="23"/>
      <c r="D234" s="23"/>
      <c r="E234" s="24"/>
      <c r="F234" s="24"/>
      <c r="G234" s="24"/>
      <c r="H234" s="24"/>
    </row>
    <row r="235" spans="2:8">
      <c r="B235" s="33"/>
      <c r="C235" s="34"/>
      <c r="D235" s="34"/>
    </row>
    <row r="236" spans="2:8">
      <c r="B236" s="44" t="s">
        <v>735</v>
      </c>
      <c r="C236" s="45" t="s">
        <v>147</v>
      </c>
      <c r="D236" s="34"/>
    </row>
    <row r="237" spans="2:8">
      <c r="B237" s="25" t="s">
        <v>736</v>
      </c>
      <c r="C237" s="47">
        <v>100</v>
      </c>
      <c r="D237" s="34"/>
    </row>
    <row r="238" spans="2:8">
      <c r="B238" s="25" t="s">
        <v>737</v>
      </c>
      <c r="C238" s="47">
        <f>C237-2</f>
        <v>98</v>
      </c>
      <c r="D238" s="34"/>
    </row>
    <row r="239" spans="2:8">
      <c r="B239" s="25" t="s">
        <v>738</v>
      </c>
      <c r="C239" s="47">
        <f t="shared" ref="C239:C249" si="0">C238-2</f>
        <v>96</v>
      </c>
      <c r="D239" s="34"/>
    </row>
    <row r="240" spans="2:8">
      <c r="B240" s="25" t="s">
        <v>739</v>
      </c>
      <c r="C240" s="47">
        <f t="shared" si="0"/>
        <v>94</v>
      </c>
      <c r="D240" s="34"/>
    </row>
    <row r="241" spans="2:4">
      <c r="B241" s="25" t="s">
        <v>740</v>
      </c>
      <c r="C241" s="47">
        <f t="shared" si="0"/>
        <v>92</v>
      </c>
      <c r="D241" s="34"/>
    </row>
    <row r="242" spans="2:4">
      <c r="B242" s="25" t="s">
        <v>741</v>
      </c>
      <c r="C242" s="47">
        <f t="shared" si="0"/>
        <v>90</v>
      </c>
      <c r="D242" s="34"/>
    </row>
    <row r="243" spans="2:4">
      <c r="B243" s="25" t="s">
        <v>742</v>
      </c>
      <c r="C243" s="47">
        <f t="shared" si="0"/>
        <v>88</v>
      </c>
      <c r="D243" s="34"/>
    </row>
    <row r="244" spans="2:4">
      <c r="B244" s="25" t="s">
        <v>743</v>
      </c>
      <c r="C244" s="47">
        <f t="shared" si="0"/>
        <v>86</v>
      </c>
      <c r="D244" s="34"/>
    </row>
    <row r="245" spans="2:4">
      <c r="B245" s="25" t="s">
        <v>744</v>
      </c>
      <c r="C245" s="47">
        <f t="shared" si="0"/>
        <v>84</v>
      </c>
      <c r="D245" s="34"/>
    </row>
    <row r="246" spans="2:4">
      <c r="B246" s="25" t="s">
        <v>745</v>
      </c>
      <c r="C246" s="47">
        <f t="shared" si="0"/>
        <v>82</v>
      </c>
      <c r="D246" s="34"/>
    </row>
    <row r="247" spans="2:4">
      <c r="B247" s="25" t="s">
        <v>746</v>
      </c>
      <c r="C247" s="47">
        <f t="shared" si="0"/>
        <v>80</v>
      </c>
      <c r="D247" s="34"/>
    </row>
    <row r="248" spans="2:4">
      <c r="B248" s="25" t="s">
        <v>747</v>
      </c>
      <c r="C248" s="47">
        <f t="shared" si="0"/>
        <v>78</v>
      </c>
      <c r="D248" s="34"/>
    </row>
    <row r="249" spans="2:4">
      <c r="B249" s="25" t="s">
        <v>748</v>
      </c>
      <c r="C249" s="47">
        <f t="shared" si="0"/>
        <v>76</v>
      </c>
      <c r="D249" s="34"/>
    </row>
  </sheetData>
  <autoFilter ref="B3:M1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 (Quick Valuation)</vt:lpstr>
      <vt:lpstr>Reference Data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Tyagi</dc:creator>
  <cp:lastModifiedBy>HP</cp:lastModifiedBy>
  <dcterms:created xsi:type="dcterms:W3CDTF">2025-11-03T12:22:46Z</dcterms:created>
  <dcterms:modified xsi:type="dcterms:W3CDTF">2026-01-16T08:09:20Z</dcterms:modified>
</cp:coreProperties>
</file>